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E:\VBA\"/>
    </mc:Choice>
  </mc:AlternateContent>
  <bookViews>
    <workbookView xWindow="0" yWindow="0" windowWidth="38400" windowHeight="17610"/>
  </bookViews>
  <sheets>
    <sheet name="Start" sheetId="6" r:id="rId1"/>
    <sheet name="Summary" sheetId="3" state="veryHidden" r:id="rId2"/>
    <sheet name="RegionTemp" sheetId="7" r:id="rId3"/>
    <sheet name="Map" sheetId="2" state="veryHidden" r:id="rId4"/>
    <sheet name="NewData" sheetId="4" state="veryHidden" r:id="rId5"/>
    <sheet name="Instructions" sheetId="11" r:id="rId6"/>
  </sheets>
  <definedNames>
    <definedName name="_xlnm._FilterDatabase" localSheetId="1" hidden="1">Summary!$A$1:$H$197</definedName>
    <definedName name="MRegion">Map!$G$9:$G$10</definedName>
    <definedName name="Slicer_Company_Name">#N/A</definedName>
  </definedNames>
  <calcPr calcId="152511"/>
  <pivotCaches>
    <pivotCache cacheId="2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3" i="7" l="1"/>
  <c r="I24" i="7"/>
  <c r="I25" i="7"/>
  <c r="I26" i="7"/>
  <c r="I27" i="7"/>
  <c r="I28" i="7"/>
  <c r="I29" i="7"/>
  <c r="I30" i="7"/>
  <c r="I31" i="7"/>
  <c r="I32" i="7"/>
  <c r="I33" i="7"/>
  <c r="I34" i="7"/>
  <c r="I35" i="7"/>
  <c r="I36" i="7"/>
  <c r="I37" i="7"/>
  <c r="I38" i="7"/>
  <c r="I39" i="7"/>
  <c r="I40" i="7"/>
  <c r="I41" i="7"/>
  <c r="I42" i="7"/>
  <c r="I43" i="7"/>
  <c r="J23" i="7"/>
  <c r="J24" i="7"/>
  <c r="J25" i="7"/>
  <c r="J26" i="7"/>
  <c r="J27" i="7"/>
  <c r="J28" i="7"/>
  <c r="J29" i="7"/>
  <c r="J30" i="7"/>
  <c r="J31" i="7"/>
  <c r="J32" i="7"/>
  <c r="J33" i="7"/>
  <c r="J34" i="7"/>
  <c r="J35" i="7"/>
  <c r="J36" i="7"/>
  <c r="J37" i="7"/>
  <c r="J38" i="7"/>
  <c r="J39" i="7"/>
  <c r="J40" i="7"/>
  <c r="J41" i="7"/>
  <c r="J42" i="7"/>
  <c r="J43" i="7"/>
  <c r="K23" i="7"/>
  <c r="K24" i="7"/>
  <c r="K25" i="7"/>
  <c r="K26" i="7"/>
  <c r="K27" i="7"/>
  <c r="K28" i="7"/>
  <c r="K29" i="7"/>
  <c r="K30" i="7"/>
  <c r="K31" i="7"/>
  <c r="K32" i="7"/>
  <c r="K33" i="7"/>
  <c r="K34" i="7"/>
  <c r="K35" i="7"/>
  <c r="K36" i="7"/>
  <c r="K37" i="7"/>
  <c r="K38" i="7"/>
  <c r="K39" i="7"/>
  <c r="K40" i="7"/>
  <c r="K41" i="7"/>
  <c r="K42" i="7"/>
  <c r="K43" i="7"/>
  <c r="L23" i="7"/>
  <c r="L24" i="7"/>
  <c r="M24" i="7" s="1"/>
  <c r="L25" i="7"/>
  <c r="L26" i="7"/>
  <c r="M26" i="7" s="1"/>
  <c r="L27" i="7"/>
  <c r="L28" i="7"/>
  <c r="M28" i="7" s="1"/>
  <c r="L29" i="7"/>
  <c r="L30" i="7"/>
  <c r="M30" i="7" s="1"/>
  <c r="L31" i="7"/>
  <c r="L32" i="7"/>
  <c r="M32" i="7" s="1"/>
  <c r="L33" i="7"/>
  <c r="L34" i="7"/>
  <c r="M34" i="7" s="1"/>
  <c r="L35" i="7"/>
  <c r="L36" i="7"/>
  <c r="M36" i="7" s="1"/>
  <c r="L37" i="7"/>
  <c r="L38" i="7"/>
  <c r="M38" i="7" s="1"/>
  <c r="L39" i="7"/>
  <c r="L40" i="7"/>
  <c r="M40" i="7" s="1"/>
  <c r="L41" i="7"/>
  <c r="L42" i="7"/>
  <c r="M42" i="7" s="1"/>
  <c r="L43" i="7"/>
  <c r="M23" i="7"/>
  <c r="M25" i="7"/>
  <c r="M27" i="7"/>
  <c r="M29" i="7"/>
  <c r="M31" i="7"/>
  <c r="M33" i="7"/>
  <c r="M35" i="7"/>
  <c r="M37" i="7"/>
  <c r="M39" i="7"/>
  <c r="M41" i="7"/>
  <c r="M43" i="7"/>
  <c r="I3" i="7"/>
  <c r="I4" i="7"/>
  <c r="I5" i="7"/>
  <c r="I6" i="7"/>
  <c r="I7" i="7"/>
  <c r="I8" i="7"/>
  <c r="I9" i="7"/>
  <c r="I10" i="7"/>
  <c r="I11" i="7"/>
  <c r="I12" i="7"/>
  <c r="I13" i="7"/>
  <c r="I14" i="7"/>
  <c r="I15" i="7"/>
  <c r="I16" i="7"/>
  <c r="I17" i="7"/>
  <c r="I18" i="7"/>
  <c r="I19" i="7"/>
  <c r="I20" i="7"/>
  <c r="I21" i="7"/>
  <c r="I22" i="7"/>
  <c r="J3" i="7"/>
  <c r="J4" i="7"/>
  <c r="J5" i="7"/>
  <c r="J6" i="7"/>
  <c r="J7" i="7"/>
  <c r="J8" i="7"/>
  <c r="J9" i="7"/>
  <c r="J10" i="7"/>
  <c r="J11" i="7"/>
  <c r="J12" i="7"/>
  <c r="J13" i="7"/>
  <c r="J14" i="7"/>
  <c r="J15" i="7"/>
  <c r="J16" i="7"/>
  <c r="J17" i="7"/>
  <c r="J18" i="7"/>
  <c r="J19" i="7"/>
  <c r="J20" i="7"/>
  <c r="J21" i="7"/>
  <c r="J22" i="7"/>
  <c r="K3" i="7"/>
  <c r="K4" i="7"/>
  <c r="K5" i="7"/>
  <c r="K6" i="7"/>
  <c r="K7" i="7"/>
  <c r="K8" i="7"/>
  <c r="K9" i="7"/>
  <c r="K10" i="7"/>
  <c r="K11" i="7"/>
  <c r="K12" i="7"/>
  <c r="K13" i="7"/>
  <c r="K14" i="7"/>
  <c r="K15" i="7"/>
  <c r="K16" i="7"/>
  <c r="K17" i="7"/>
  <c r="K18" i="7"/>
  <c r="K19" i="7"/>
  <c r="K20" i="7"/>
  <c r="K21" i="7"/>
  <c r="K22" i="7"/>
  <c r="L3" i="7"/>
  <c r="L4" i="7"/>
  <c r="L5" i="7"/>
  <c r="L6" i="7"/>
  <c r="L7" i="7"/>
  <c r="L8" i="7"/>
  <c r="L9" i="7"/>
  <c r="L10" i="7"/>
  <c r="L11" i="7"/>
  <c r="L12" i="7"/>
  <c r="L13" i="7"/>
  <c r="L14" i="7"/>
  <c r="L15" i="7"/>
  <c r="L16" i="7"/>
  <c r="L17" i="7"/>
  <c r="L18" i="7"/>
  <c r="L19" i="7"/>
  <c r="L20" i="7"/>
  <c r="L21" i="7"/>
  <c r="L22" i="7"/>
  <c r="M3" i="7"/>
  <c r="M4" i="7"/>
  <c r="M5" i="7"/>
  <c r="M6" i="7"/>
  <c r="M7" i="7"/>
  <c r="M8" i="7"/>
  <c r="M9" i="7"/>
  <c r="M10" i="7"/>
  <c r="M11" i="7"/>
  <c r="M12" i="7"/>
  <c r="M13" i="7"/>
  <c r="M14" i="7"/>
  <c r="M15" i="7"/>
  <c r="M16" i="7"/>
  <c r="M17" i="7"/>
  <c r="M18" i="7"/>
  <c r="M19" i="7"/>
  <c r="M20" i="7"/>
  <c r="M21" i="7"/>
  <c r="M22" i="7"/>
  <c r="L2" i="7" l="1"/>
  <c r="M2" i="7" s="1"/>
  <c r="K2" i="7"/>
  <c r="J2" i="7"/>
  <c r="I2" i="7"/>
</calcChain>
</file>

<file path=xl/sharedStrings.xml><?xml version="1.0" encoding="utf-8"?>
<sst xmlns="http://schemas.openxmlformats.org/spreadsheetml/2006/main" count="450" uniqueCount="108">
  <si>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</si>
  <si>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</si>
  <si>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</si>
  <si>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</si>
  <si>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</si>
  <si>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</si>
  <si>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</si>
  <si>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</si>
  <si>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</si>
  <si>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</si>
  <si>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</si>
  <si>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</si>
  <si>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</si>
  <si>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</si>
  <si>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</si>
  <si>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</si>
  <si>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</si>
  <si>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</si>
  <si>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</si>
  <si>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</si>
  <si>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</si>
  <si>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</si>
  <si>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</si>
  <si>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</si>
  <si>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</si>
  <si>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</si>
  <si>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</si>
  <si>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</si>
  <si>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</si>
  <si>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</si>
  <si>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</si>
  <si>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</si>
  <si>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</si>
  <si>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</si>
  <si>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</si>
  <si>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</si>
  <si>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</si>
  <si>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</si>
  <si>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</si>
  <si>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</si>
  <si>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</si>
  <si>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</si>
  <si>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</si>
  <si>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</si>
  <si>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Customer Name</t>
  </si>
  <si>
    <t>Dellicia</t>
  </si>
  <si>
    <t>Meta Creations</t>
  </si>
  <si>
    <t>Erma</t>
  </si>
  <si>
    <t>Edson</t>
  </si>
  <si>
    <t>Customer code</t>
  </si>
  <si>
    <t>Company code</t>
  </si>
  <si>
    <t>EUR to $</t>
  </si>
  <si>
    <t>Article code</t>
  </si>
  <si>
    <t>Region</t>
  </si>
  <si>
    <t>America</t>
  </si>
  <si>
    <t>Europe</t>
  </si>
  <si>
    <t>Aim of the tool</t>
  </si>
  <si>
    <t>Your Challenge</t>
  </si>
  <si>
    <t>Regions</t>
  </si>
  <si>
    <t>Werner Strauss</t>
  </si>
  <si>
    <t>Aida GmbH</t>
  </si>
  <si>
    <t>Liebher</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</si>
  <si>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</si>
  <si>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</si>
  <si>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</si>
  <si>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6. You need to split each region to it's own file. European Regional managers should not see the US data</t>
  </si>
  <si>
    <t>5. Top management would like to have a one-pager report that is hardcoded (macro free workbook).</t>
  </si>
  <si>
    <t>4. Regional managers would like to have Pivot based reports so they can slice and dice through the information (macro free workbook).</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</si>
  <si>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</si>
  <si>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</si>
  <si>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</si>
  <si>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</si>
  <si>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</si>
  <si>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</si>
  <si>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</si>
  <si>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</si>
  <si>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</si>
  <si>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</si>
  <si>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</si>
  <si>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</si>
  <si>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Based on this data, you need to create the following Monthly Reports:</t>
  </si>
  <si>
    <t>1. First import data 1-to-1 to NewData tab</t>
  </si>
  <si>
    <t>3. Copy and paste the required column from NewData in Summary tab</t>
  </si>
  <si>
    <t>2. Use Find function to find the matching header from Summary tab in NewData tab</t>
  </si>
  <si>
    <r>
      <t>Time savings:</t>
    </r>
    <r>
      <rPr>
        <sz val="11"/>
        <color rgb="FF92D050"/>
        <rFont val="Arial"/>
        <family val="2"/>
        <scheme val="minor"/>
      </rPr>
      <t xml:space="preserve"> 4 plus hours</t>
    </r>
  </si>
  <si>
    <t>All of this will cost you a lot of time if done manually (possibly around 4 hours - plus data changes are not uncommon)</t>
  </si>
  <si>
    <t>Sometimes you have to repeat the whole process because wrong data was sent;</t>
  </si>
  <si>
    <t>Internal code</t>
  </si>
  <si>
    <t/>
  </si>
  <si>
    <t>Sales Local Curr</t>
  </si>
  <si>
    <t>Article Desc</t>
  </si>
  <si>
    <t>Sales in Us $</t>
  </si>
  <si>
    <t>Row Labels</t>
  </si>
  <si>
    <t>Grand Total</t>
  </si>
  <si>
    <t>Sum of Quantity</t>
  </si>
  <si>
    <t>Sum of Sales in Us $</t>
  </si>
  <si>
    <t xml:space="preserve">Regional Sales by Customer </t>
  </si>
  <si>
    <t>Article overview by company</t>
  </si>
  <si>
    <t>Count of Reject</t>
  </si>
  <si>
    <t>Customer name</t>
  </si>
  <si>
    <t>M110</t>
  </si>
  <si>
    <t>M120</t>
  </si>
  <si>
    <t>M180</t>
  </si>
  <si>
    <t>M170</t>
  </si>
  <si>
    <t>M150</t>
  </si>
  <si>
    <t>M190</t>
  </si>
  <si>
    <t>M130</t>
  </si>
  <si>
    <t>M200</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</si>
</sst>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
      <b/>
      <sz val="22"/>
      <color theme="1"/>
      <name val="Arial"/>
      <family val="2"/>
      <scheme val="minor"/>
    </font>
    <font>
      <sz val="10"/>
      <color rgb="FF000000"/>
      <name val="Arial"/>
      <family val="2"/>
    </font>
  </fonts>
  <fills count="9">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0"/>
        <bgColor indexed="64"/>
      </patternFill>
    </fill>
    <fill>
      <patternFill patternType="solid">
        <fgColor theme="3" tint="0.39997558519241921"/>
        <bgColor indexed="64"/>
      </patternFill>
    </fill>
  </fills>
  <borders count="6">
    <border>
      <left/>
      <right/>
      <top/>
      <bottom/>
      <diagonal/>
    </border>
    <border>
      <left/>
      <right/>
      <top/>
      <bottom style="thin">
        <color indexed="64"/>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s>
  <cellStyleXfs count="1">
    <xf numFmtId="0" fontId="0" fillId="0" borderId="0"/>
  </cellStyleXfs>
  <cellXfs count="36">
    <xf numFmtId="0" fontId="0" fillId="0" borderId="0" xfId="0"/>
    <xf numFmtId="0" fontId="3" fillId="0" borderId="0" xfId="0" applyFont="1"/>
    <xf numFmtId="0" fontId="0" fillId="2" borderId="0" xfId="0" applyFill="1" applyBorder="1"/>
    <xf numFmtId="0" fontId="4" fillId="2" borderId="0" xfId="0" applyFont="1" applyFill="1" applyBorder="1"/>
    <xf numFmtId="0" fontId="0" fillId="0" borderId="1" xfId="0" applyBorder="1"/>
    <xf numFmtId="49" fontId="5" fillId="3" borderId="0" xfId="0" applyNumberFormat="1" applyFont="1" applyFill="1" applyBorder="1" applyAlignment="1">
      <alignment horizontal="left" vertical="center" wrapText="1"/>
    </xf>
    <xf numFmtId="0" fontId="4" fillId="4" borderId="2" xfId="0" applyNumberFormat="1" applyFont="1" applyFill="1" applyBorder="1" applyAlignment="1" applyProtection="1">
      <alignment horizontal="center" vertical="center" wrapText="1"/>
      <protection locked="0"/>
    </xf>
    <xf numFmtId="0" fontId="6" fillId="0" borderId="0" xfId="0" applyFont="1"/>
    <xf numFmtId="0" fontId="8" fillId="0" borderId="0" xfId="0" applyFont="1"/>
    <xf numFmtId="0" fontId="7" fillId="5" borderId="0" xfId="0" applyFont="1" applyFill="1" applyBorder="1" applyAlignment="1">
      <alignment horizontal="center" vertical="center" wrapText="1"/>
    </xf>
    <xf numFmtId="0" fontId="8" fillId="0" borderId="0" xfId="0" applyFont="1" applyBorder="1"/>
    <xf numFmtId="0" fontId="0" fillId="0" borderId="0" xfId="0" applyBorder="1"/>
    <xf numFmtId="0" fontId="0" fillId="0" borderId="0" xfId="0" applyNumberFormat="1" applyBorder="1"/>
    <xf numFmtId="0" fontId="0" fillId="6" borderId="0" xfId="0" applyFill="1"/>
    <xf numFmtId="0" fontId="0" fillId="7" borderId="2" xfId="0" applyFill="1" applyBorder="1"/>
    <xf numFmtId="0" fontId="9" fillId="7" borderId="3" xfId="0" quotePrefix="1" applyFont="1" applyFill="1" applyBorder="1"/>
    <xf numFmtId="0" fontId="9" fillId="7" borderId="3" xfId="0" applyFont="1" applyFill="1" applyBorder="1"/>
    <xf numFmtId="0" fontId="0" fillId="7" borderId="3" xfId="0" applyFill="1" applyBorder="1"/>
    <xf numFmtId="0" fontId="0" fillId="7" borderId="0" xfId="0" applyFill="1"/>
    <xf numFmtId="0" fontId="0" fillId="7" borderId="4" xfId="0" applyFill="1" applyBorder="1"/>
    <xf numFmtId="0" fontId="0" fillId="7" borderId="2" xfId="0" quotePrefix="1" applyFill="1" applyBorder="1"/>
    <xf numFmtId="0" fontId="0" fillId="7" borderId="3" xfId="0" quotePrefix="1" applyFill="1" applyBorder="1"/>
    <xf numFmtId="0" fontId="0" fillId="7" borderId="5" xfId="0" applyFill="1" applyBorder="1"/>
    <xf numFmtId="0" fontId="0" fillId="7" borderId="3" xfId="0" applyFill="1" applyBorder="1" applyAlignment="1">
      <alignment horizontal="left" indent="2"/>
    </xf>
    <xf numFmtId="0" fontId="10" fillId="7" borderId="3" xfId="0" applyFont="1" applyFill="1" applyBorder="1"/>
    <xf numFmtId="0" fontId="2" fillId="7" borderId="3" xfId="0" applyFont="1" applyFill="1" applyBorder="1"/>
    <xf numFmtId="0" fontId="1" fillId="7" borderId="3" xfId="0" applyFont="1" applyFill="1" applyBorder="1"/>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0" borderId="0" xfId="0" applyAlignment="1">
      <alignment horizontal="center"/>
    </xf>
    <xf numFmtId="0" fontId="12" fillId="7" borderId="0" xfId="0" applyFont="1" applyFill="1" applyAlignment="1"/>
    <xf numFmtId="0" fontId="12" fillId="8" borderId="0" xfId="0" applyFont="1" applyFill="1" applyAlignment="1">
      <alignment horizontal="center"/>
    </xf>
    <xf numFmtId="0" fontId="0" fillId="0" borderId="0" xfId="0" applyFont="1"/>
  </cellXfs>
  <cellStyles count="1">
    <cellStyle name="Normal" xfId="0" builtinId="0" customBuiltin="1"/>
  </cellStyles>
  <dxfs count="24">
    <dxf>
      <numFmt numFmtId="19" formatCode="m/d/yyyy"/>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8"/>
        <color theme="1"/>
        <name val="Arial"/>
        <scheme val="none"/>
      </font>
    </dxf>
    <dxf>
      <border outline="0">
        <bottom style="medium">
          <color indexed="64"/>
        </bottom>
      </border>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minor"/>
      </font>
      <fill>
        <patternFill patternType="solid">
          <fgColor indexed="64"/>
          <bgColor theme="9" tint="-0.249977111117893"/>
        </patternFill>
      </fill>
      <alignment horizontal="center" vertical="center" textRotation="0" wrapText="1" indent="0" justifyLastLine="0" shrinkToFit="0" readingOrder="0"/>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tableStyleElement type="wholeTable" dxfId="23"/>
      <tableStyleElement type="headerRow" dxfId="22"/>
      <tableStyleElement type="totalRow" dxfId="21"/>
      <tableStyleElement type="firstRowStripe" dxfId="20"/>
      <tableStyleElement type="firstColumnStripe" dxfId="19"/>
      <tableStyleElement type="firstSubtotalRow" dxfId="18"/>
      <tableStyleElement type="secondSubtotalRow" dxfId="17"/>
      <tableStyleElement type="firstRowSubheading" dxfId="16"/>
      <tableStyleElement type="secondRowSubheading" dxfId="15"/>
      <tableStyleElement type="pageFieldLabels" dxfId="14"/>
      <tableStyleElement type="pageFieldValues" dxfId="13"/>
    </tableStyle>
    <tableStyle name="MySlicer" pivot="0" table="0" count="10">
      <tableStyleElement type="wholeTable" dxfId="12"/>
      <tableStyleElement type="headerRow" dxfId="11"/>
    </tableStyle>
    <tableStyle name="Table Style 1" pivot="0" count="1">
      <tableStyleElement type="wholeTable" dxfId="10"/>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[Monthly_Sales_Reporting_Template_Tool_Start.xlsm]RegionTemp!PivotTable2</c:name>
    <c:fmtId val="1"/>
  </c:pivotSource>
  <c:chart>
    <c:title>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43973709536307959"/>
          <c:y val="0.25870151647710704"/>
          <c:w val="0.3697904636920385"/>
          <c:h val="0.63953922426363374"/>
        </c:manualLayout>
      </c:layout>
      <c:barChart>
        <c:barDir val="bar"/>
        <c:grouping val="clustered"/>
        <c:varyColors val="0"/>
        <c:ser>
          <c:idx val="0"/>
          <c:order val="0"/>
          <c:tx>
            <c:strRef>
              <c:f>RegionTemp!$S$4</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RegionTemp!$R$5:$R$8</c:f>
              <c:strCache>
                <c:ptCount val="3"/>
                <c:pt idx="0">
                  <c:v>Aida GmbH</c:v>
                </c:pt>
                <c:pt idx="1">
                  <c:v>Erma</c:v>
                </c:pt>
                <c:pt idx="2">
                  <c:v>Dellicia</c:v>
                </c:pt>
              </c:strCache>
            </c:strRef>
          </c:cat>
          <c:val>
            <c:numRef>
              <c:f>RegionTemp!$S$5:$S$8</c:f>
              <c:numCache>
                <c:formatCode>General</c:formatCode>
                <c:ptCount val="3"/>
                <c:pt idx="0">
                  <c:v>8177.58</c:v>
                </c:pt>
                <c:pt idx="1">
                  <c:v>27680</c:v>
                </c:pt>
                <c:pt idx="2">
                  <c:v>10040</c:v>
                </c:pt>
              </c:numCache>
            </c:numRef>
          </c:val>
        </c:ser>
        <c:dLbls>
          <c:dLblPos val="inEnd"/>
          <c:showLegendKey val="0"/>
          <c:showVal val="1"/>
          <c:showCatName val="0"/>
          <c:showSerName val="0"/>
          <c:showPercent val="0"/>
          <c:showBubbleSize val="0"/>
        </c:dLbls>
        <c:gapWidth val="65"/>
        <c:axId val="-739897520"/>
        <c:axId val="-739904592"/>
      </c:barChart>
      <c:catAx>
        <c:axId val="-73989752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739904592"/>
        <c:crosses val="autoZero"/>
        <c:auto val="1"/>
        <c:lblAlgn val="ctr"/>
        <c:lblOffset val="100"/>
        <c:noMultiLvlLbl val="0"/>
      </c:catAx>
      <c:valAx>
        <c:axId val="-739904592"/>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739897520"/>
        <c:crosses val="autoZero"/>
        <c:crossBetween val="between"/>
      </c:valAx>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0</xdr:col>
      <xdr:colOff>251113</xdr:colOff>
      <xdr:row>0</xdr:row>
      <xdr:rowOff>112568</xdr:rowOff>
    </xdr:from>
    <xdr:ext cx="4788478" cy="298800"/>
    <xdr:sp macro="" textlink="">
      <xdr:nvSpPr>
        <xdr:cNvPr id="4" name="TextBox 3">
          <a:extLst>
            <a:ext uri="{FF2B5EF4-FFF2-40B4-BE49-F238E27FC236}">
              <a16:creationId xmlns=""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accent1">
                  <a:lumMod val="75000"/>
                </a:schemeClr>
              </a:solidFill>
            </a:rPr>
            <a:t>Monthly</a:t>
          </a:r>
          <a:r>
            <a:rPr lang="en-US" sz="1400" baseline="0">
              <a:solidFill>
                <a:schemeClr val="accent1">
                  <a:lumMod val="75000"/>
                </a:schemeClr>
              </a:solidFill>
            </a:rPr>
            <a:t> Sales Reporting Data Preparation Template</a:t>
          </a:r>
          <a:endParaRPr lang="en-US" sz="1400">
            <a:solidFill>
              <a:schemeClr val="accent1">
                <a:lumMod val="75000"/>
              </a:schemeClr>
            </a:solidFill>
          </a:endParaRPr>
        </a:p>
      </xdr:txBody>
    </xdr:sp>
    <xdr:clientData/>
  </xdr:oneCellAnchor>
  <mc:AlternateContent xmlns:mc="http://schemas.openxmlformats.org/markup-compatibility/2006">
    <mc:Choice xmlns:a14="http://schemas.microsoft.com/office/drawing/2010/main" Requires="a14">
      <xdr:twoCellAnchor>
        <xdr:from>
          <xdr:col>2</xdr:col>
          <xdr:colOff>152400</xdr:colOff>
          <xdr:row>7</xdr:row>
          <xdr:rowOff>47625</xdr:rowOff>
        </xdr:from>
        <xdr:to>
          <xdr:col>2</xdr:col>
          <xdr:colOff>1123950</xdr:colOff>
          <xdr:row>9</xdr:row>
          <xdr:rowOff>28575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7</xdr:row>
          <xdr:rowOff>38100</xdr:rowOff>
        </xdr:from>
        <xdr:to>
          <xdr:col>5</xdr:col>
          <xdr:colOff>390525</xdr:colOff>
          <xdr:row>8</xdr:row>
          <xdr:rowOff>95250</xdr:rowOff>
        </xdr:to>
        <xdr:sp macro="" textlink="">
          <xdr:nvSpPr>
            <xdr:cNvPr id="1026" name="AxRegion"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523875</xdr:colOff>
          <xdr:row>6</xdr:row>
          <xdr:rowOff>152400</xdr:rowOff>
        </xdr:from>
        <xdr:to>
          <xdr:col>8</xdr:col>
          <xdr:colOff>600075</xdr:colOff>
          <xdr:row>8</xdr:row>
          <xdr:rowOff>114300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4</xdr:row>
          <xdr:rowOff>38100</xdr:rowOff>
        </xdr:from>
        <xdr:to>
          <xdr:col>5</xdr:col>
          <xdr:colOff>485775</xdr:colOff>
          <xdr:row>6</xdr:row>
          <xdr:rowOff>76200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17</xdr:col>
      <xdr:colOff>0</xdr:colOff>
      <xdr:row>8</xdr:row>
      <xdr:rowOff>28575</xdr:rowOff>
    </xdr:from>
    <xdr:to>
      <xdr:col>20</xdr:col>
      <xdr:colOff>85725</xdr:colOff>
      <xdr:row>24</xdr:row>
      <xdr:rowOff>71436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28575</xdr:colOff>
      <xdr:row>1</xdr:row>
      <xdr:rowOff>123826</xdr:rowOff>
    </xdr:from>
    <xdr:to>
      <xdr:col>21</xdr:col>
      <xdr:colOff>1857375</xdr:colOff>
      <xdr:row>4</xdr:row>
      <xdr:rowOff>76201</xdr:rowOff>
    </xdr:to>
    <mc:AlternateContent xmlns:mc="http://schemas.openxmlformats.org/markup-compatibility/2006" xmlns:a14="http://schemas.microsoft.com/office/drawing/2010/main">
      <mc:Choice Requires="a14">
        <xdr:graphicFrame macro="">
          <xdr:nvGraphicFramePr>
            <xdr:cNvPr id="3" name="Company Name"/>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23212425" y="476251"/>
              <a:ext cx="1828800" cy="43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 xmlns:a16="http://schemas.microsoft.com/office/drawing/2014/main" id="{00000000-0008-0000-05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y PC" refreshedDate="44206.882461111112" createdVersion="5" refreshedVersion="5" minRefreshableVersion="3" recordCount="42">
  <cacheSource type="worksheet">
    <worksheetSource name="TempTable"/>
  </cacheSource>
  <cacheFields count="13">
    <cacheField name="Company ID" numFmtId="0">
      <sharedItems/>
    </cacheField>
    <cacheField name="Sales Document" numFmtId="0">
      <sharedItems containsSemiMixedTypes="0" containsString="0" containsNumber="1" containsInteger="1" minValue="24030" maxValue="28112"/>
    </cacheField>
    <cacheField name="Document Date" numFmtId="14">
      <sharedItems containsSemiMixedTypes="0" containsNonDate="0" containsDate="1" containsString="0" minDate="2018-10-02T00:00:00" maxDate="2018-10-17T00:00:00"/>
    </cacheField>
    <cacheField name="Customer code" numFmtId="0">
      <sharedItems containsSemiMixedTypes="0" containsString="0" containsNumber="1" containsInteger="1" minValue="8010" maxValue="8020"/>
    </cacheField>
    <cacheField name="Article code" numFmtId="0">
      <sharedItems containsSemiMixedTypes="0" containsString="0" containsNumber="1" containsInteger="1" minValue="101" maxValue="118"/>
    </cacheField>
    <cacheField name="Reject" numFmtId="0">
      <sharedItems containsBlank="1" containsMixedTypes="1" containsNumber="1" containsInteger="1" minValue="1" maxValue="6"/>
    </cacheField>
    <cacheField name="Quantity" numFmtId="0">
      <sharedItems containsSemiMixedTypes="0" containsString="0" containsNumber="1" containsInteger="1" minValue="10" maxValue="130"/>
    </cacheField>
    <cacheField name="Sales Local Curr" numFmtId="0">
      <sharedItems containsSemiMixedTypes="0" containsString="0" containsNumber="1" containsInteger="1" minValue="100" maxValue="2500"/>
    </cacheField>
    <cacheField name="Company Name" numFmtId="0">
      <sharedItems count="3">
        <s v="Bere Kleid"/>
        <s v="Meta Creations"/>
        <s v="Lucas Basics" u="1"/>
      </sharedItems>
    </cacheField>
    <cacheField name="Customer Name" numFmtId="0">
      <sharedItems count="6">
        <s v="Aida GmbH"/>
        <s v="Erma"/>
        <s v="Dellicia"/>
        <s v="Werner Strauss" u="1"/>
        <s v="Liebher" u="1"/>
        <s v="Edson" u="1"/>
      </sharedItems>
    </cacheField>
    <cacheField name="Article Desc" numFmtId="0">
      <sharedItems count="19">
        <s v="Women evening dress Cocktail red"/>
        <s v="Men type T simple black"/>
        <s v="Men basics"/>
        <s v="Laptop bag black"/>
        <s v="Men type T simple white"/>
        <s v="Men dress shirt black"/>
        <s v="Men dress shirt grey"/>
        <s v="Men shorts grey"/>
        <s v="Men shorts black"/>
        <s v="Unisex tank top white"/>
        <s v="Women type T simple black" u="1"/>
        <s v="Women type T simple white" u="1"/>
        <s v="Women evening dress long black" u="1"/>
        <s v="Women crop top black" u="1"/>
        <s v="Unisex tank top black" u="1"/>
        <s v="Smartphone case simple" u="1"/>
        <s v="Smartphone case diamond" u="1"/>
        <s v="Women basics" u="1"/>
        <s v="Laptop bag red" u="1"/>
      </sharedItems>
    </cacheField>
    <cacheField name="Currency" numFmtId="0">
      <sharedItems/>
    </cacheField>
    <cacheField name="Sales in Us $" numFmtId="0">
      <sharedItems containsSemiMixedTypes="0" containsString="0" containsNumber="1" minValue="100" maxValue="8177.58"/>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2">
  <r>
    <s v="1020US"/>
    <n v="24030"/>
    <d v="2018-10-02T00:00:00"/>
    <n v="8020"/>
    <n v="101"/>
    <n v="1"/>
    <n v="130"/>
    <n v="1560"/>
    <x v="0"/>
    <x v="0"/>
    <x v="0"/>
    <s v="EUR"/>
    <n v="8177.58"/>
  </r>
  <r>
    <s v="1020US"/>
    <n v="24030"/>
    <d v="2018-10-02T00:00:00"/>
    <n v="8020"/>
    <n v="102"/>
    <m/>
    <n v="30"/>
    <n v="360"/>
    <x v="1"/>
    <x v="1"/>
    <x v="1"/>
    <s v="USD"/>
    <n v="360"/>
  </r>
  <r>
    <s v="1020US"/>
    <n v="24030"/>
    <d v="2018-10-02T00:00:00"/>
    <n v="8020"/>
    <n v="106"/>
    <s v=""/>
    <n v="60"/>
    <n v="300"/>
    <x v="1"/>
    <x v="1"/>
    <x v="2"/>
    <s v="USD"/>
    <n v="300"/>
  </r>
  <r>
    <s v="1020US"/>
    <n v="24030"/>
    <d v="2018-10-02T00:00:00"/>
    <n v="8020"/>
    <n v="108"/>
    <m/>
    <n v="80"/>
    <n v="2240"/>
    <x v="1"/>
    <x v="1"/>
    <x v="3"/>
    <s v="USD"/>
    <n v="2240"/>
  </r>
  <r>
    <s v="1020US"/>
    <n v="24031"/>
    <d v="2018-10-08T00:00:00"/>
    <n v="8020"/>
    <n v="101"/>
    <s v=""/>
    <n v="100"/>
    <n v="1200"/>
    <x v="1"/>
    <x v="1"/>
    <x v="4"/>
    <s v="USD"/>
    <n v="1200"/>
  </r>
  <r>
    <s v="1020US"/>
    <n v="24031"/>
    <d v="2018-10-08T00:00:00"/>
    <n v="8020"/>
    <n v="108"/>
    <s v=""/>
    <n v="20"/>
    <n v="560"/>
    <x v="1"/>
    <x v="1"/>
    <x v="3"/>
    <s v="USD"/>
    <n v="560"/>
  </r>
  <r>
    <s v="1020US"/>
    <n v="24031"/>
    <d v="2018-10-08T00:00:00"/>
    <n v="8020"/>
    <n v="113"/>
    <s v=""/>
    <n v="100"/>
    <n v="2500"/>
    <x v="1"/>
    <x v="1"/>
    <x v="5"/>
    <s v="USD"/>
    <n v="2500"/>
  </r>
  <r>
    <s v="1020US"/>
    <n v="28112"/>
    <d v="2018-10-12T00:00:00"/>
    <n v="8020"/>
    <n v="114"/>
    <n v="1"/>
    <n v="50"/>
    <n v="1250"/>
    <x v="1"/>
    <x v="1"/>
    <x v="6"/>
    <s v="USD"/>
    <n v="1250"/>
  </r>
  <r>
    <s v="1020US"/>
    <n v="28112"/>
    <d v="2018-10-12T00:00:00"/>
    <n v="8020"/>
    <n v="101"/>
    <s v=""/>
    <n v="40"/>
    <n v="480"/>
    <x v="1"/>
    <x v="1"/>
    <x v="4"/>
    <s v="USD"/>
    <n v="480"/>
  </r>
  <r>
    <s v="1020US"/>
    <n v="28112"/>
    <d v="2018-10-12T00:00:00"/>
    <n v="8020"/>
    <n v="102"/>
    <m/>
    <n v="70"/>
    <n v="840"/>
    <x v="1"/>
    <x v="1"/>
    <x v="1"/>
    <s v="USD"/>
    <n v="840"/>
  </r>
  <r>
    <s v="1020US"/>
    <n v="28112"/>
    <d v="2018-10-12T00:00:00"/>
    <n v="8020"/>
    <n v="106"/>
    <m/>
    <n v="70"/>
    <n v="350"/>
    <x v="1"/>
    <x v="1"/>
    <x v="2"/>
    <s v="USD"/>
    <n v="350"/>
  </r>
  <r>
    <s v="1020US"/>
    <n v="28112"/>
    <d v="2018-10-12T00:00:00"/>
    <n v="8020"/>
    <n v="108"/>
    <m/>
    <n v="10"/>
    <n v="280"/>
    <x v="1"/>
    <x v="1"/>
    <x v="3"/>
    <s v="USD"/>
    <n v="280"/>
  </r>
  <r>
    <s v="1020US"/>
    <n v="28112"/>
    <d v="2018-10-12T00:00:00"/>
    <n v="8020"/>
    <n v="117"/>
    <m/>
    <n v="80"/>
    <n v="1440"/>
    <x v="1"/>
    <x v="1"/>
    <x v="7"/>
    <s v="USD"/>
    <n v="1440"/>
  </r>
  <r>
    <s v="1020US"/>
    <n v="28112"/>
    <d v="2018-10-12T00:00:00"/>
    <n v="8020"/>
    <n v="118"/>
    <m/>
    <n v="70"/>
    <n v="1260"/>
    <x v="1"/>
    <x v="1"/>
    <x v="8"/>
    <s v="USD"/>
    <n v="1260"/>
  </r>
  <r>
    <s v="1020US"/>
    <n v="25442"/>
    <d v="2018-10-16T00:00:00"/>
    <n v="8010"/>
    <n v="118"/>
    <m/>
    <n v="70"/>
    <n v="1260"/>
    <x v="1"/>
    <x v="2"/>
    <x v="8"/>
    <s v="USD"/>
    <n v="1260"/>
  </r>
  <r>
    <s v="1020US"/>
    <n v="25442"/>
    <d v="2018-10-16T00:00:00"/>
    <n v="8010"/>
    <n v="117"/>
    <n v="6"/>
    <n v="80"/>
    <n v="1440"/>
    <x v="1"/>
    <x v="2"/>
    <x v="7"/>
    <s v="USD"/>
    <n v="1440"/>
  </r>
  <r>
    <s v="1020US"/>
    <n v="25442"/>
    <d v="2018-10-16T00:00:00"/>
    <n v="8010"/>
    <n v="118"/>
    <m/>
    <n v="70"/>
    <n v="1260"/>
    <x v="1"/>
    <x v="2"/>
    <x v="8"/>
    <s v="USD"/>
    <n v="1260"/>
  </r>
  <r>
    <s v="1020US"/>
    <n v="25442"/>
    <d v="2018-10-16T00:00:00"/>
    <n v="8010"/>
    <n v="116"/>
    <n v="1"/>
    <n v="60"/>
    <n v="360"/>
    <x v="1"/>
    <x v="2"/>
    <x v="9"/>
    <s v="USD"/>
    <n v="360"/>
  </r>
  <r>
    <s v="1020US"/>
    <n v="25442"/>
    <d v="2018-10-16T00:00:00"/>
    <n v="8010"/>
    <n v="106"/>
    <m/>
    <n v="20"/>
    <n v="100"/>
    <x v="1"/>
    <x v="2"/>
    <x v="2"/>
    <s v="USD"/>
    <n v="100"/>
  </r>
  <r>
    <s v="1020US"/>
    <n v="25442"/>
    <d v="2018-10-16T00:00:00"/>
    <n v="8010"/>
    <n v="101"/>
    <m/>
    <n v="40"/>
    <n v="480"/>
    <x v="1"/>
    <x v="2"/>
    <x v="4"/>
    <s v="USD"/>
    <n v="480"/>
  </r>
  <r>
    <s v="1020US"/>
    <n v="25442"/>
    <d v="2018-10-16T00:00:00"/>
    <n v="8010"/>
    <n v="102"/>
    <m/>
    <n v="10"/>
    <n v="120"/>
    <x v="1"/>
    <x v="2"/>
    <x v="1"/>
    <s v="USD"/>
    <n v="120"/>
  </r>
  <r>
    <s v="1020US"/>
    <n v="24030"/>
    <d v="2018-10-02T00:00:00"/>
    <n v="8020"/>
    <n v="101"/>
    <n v="1"/>
    <n v="130"/>
    <n v="1560"/>
    <x v="1"/>
    <x v="1"/>
    <x v="4"/>
    <s v="USD"/>
    <n v="1560"/>
  </r>
  <r>
    <s v="1020US"/>
    <n v="24030"/>
    <d v="2018-10-02T00:00:00"/>
    <n v="8020"/>
    <n v="102"/>
    <m/>
    <n v="30"/>
    <n v="360"/>
    <x v="1"/>
    <x v="1"/>
    <x v="1"/>
    <s v="USD"/>
    <n v="360"/>
  </r>
  <r>
    <s v="1020US"/>
    <n v="24030"/>
    <d v="2018-10-02T00:00:00"/>
    <n v="8020"/>
    <n v="106"/>
    <s v=""/>
    <n v="60"/>
    <n v="300"/>
    <x v="1"/>
    <x v="1"/>
    <x v="2"/>
    <s v="USD"/>
    <n v="300"/>
  </r>
  <r>
    <s v="1020US"/>
    <n v="24030"/>
    <d v="2018-10-02T00:00:00"/>
    <n v="8020"/>
    <n v="108"/>
    <m/>
    <n v="80"/>
    <n v="2240"/>
    <x v="1"/>
    <x v="1"/>
    <x v="3"/>
    <s v="USD"/>
    <n v="2240"/>
  </r>
  <r>
    <s v="1020US"/>
    <n v="24031"/>
    <d v="2018-10-08T00:00:00"/>
    <n v="8020"/>
    <n v="101"/>
    <s v=""/>
    <n v="100"/>
    <n v="1200"/>
    <x v="1"/>
    <x v="1"/>
    <x v="4"/>
    <s v="USD"/>
    <n v="1200"/>
  </r>
  <r>
    <s v="1020US"/>
    <n v="24031"/>
    <d v="2018-10-08T00:00:00"/>
    <n v="8020"/>
    <n v="108"/>
    <s v=""/>
    <n v="20"/>
    <n v="560"/>
    <x v="1"/>
    <x v="1"/>
    <x v="3"/>
    <s v="USD"/>
    <n v="560"/>
  </r>
  <r>
    <s v="1020US"/>
    <n v="24031"/>
    <d v="2018-10-08T00:00:00"/>
    <n v="8020"/>
    <n v="113"/>
    <s v=""/>
    <n v="100"/>
    <n v="2500"/>
    <x v="1"/>
    <x v="1"/>
    <x v="5"/>
    <s v="USD"/>
    <n v="2500"/>
  </r>
  <r>
    <s v="1020US"/>
    <n v="28112"/>
    <d v="2018-10-12T00:00:00"/>
    <n v="8020"/>
    <n v="114"/>
    <n v="1"/>
    <n v="50"/>
    <n v="1250"/>
    <x v="1"/>
    <x v="1"/>
    <x v="6"/>
    <s v="USD"/>
    <n v="1250"/>
  </r>
  <r>
    <s v="1020US"/>
    <n v="28112"/>
    <d v="2018-10-12T00:00:00"/>
    <n v="8020"/>
    <n v="101"/>
    <s v=""/>
    <n v="40"/>
    <n v="480"/>
    <x v="1"/>
    <x v="1"/>
    <x v="4"/>
    <s v="USD"/>
    <n v="480"/>
  </r>
  <r>
    <s v="1020US"/>
    <n v="28112"/>
    <d v="2018-10-12T00:00:00"/>
    <n v="8020"/>
    <n v="102"/>
    <m/>
    <n v="70"/>
    <n v="840"/>
    <x v="1"/>
    <x v="1"/>
    <x v="1"/>
    <s v="USD"/>
    <n v="840"/>
  </r>
  <r>
    <s v="1020US"/>
    <n v="28112"/>
    <d v="2018-10-12T00:00:00"/>
    <n v="8020"/>
    <n v="106"/>
    <m/>
    <n v="70"/>
    <n v="350"/>
    <x v="1"/>
    <x v="1"/>
    <x v="2"/>
    <s v="USD"/>
    <n v="350"/>
  </r>
  <r>
    <s v="1020US"/>
    <n v="28112"/>
    <d v="2018-10-12T00:00:00"/>
    <n v="8020"/>
    <n v="108"/>
    <m/>
    <n v="10"/>
    <n v="280"/>
    <x v="1"/>
    <x v="1"/>
    <x v="3"/>
    <s v="USD"/>
    <n v="280"/>
  </r>
  <r>
    <s v="1020US"/>
    <n v="28112"/>
    <d v="2018-10-12T00:00:00"/>
    <n v="8020"/>
    <n v="117"/>
    <m/>
    <n v="80"/>
    <n v="1440"/>
    <x v="1"/>
    <x v="1"/>
    <x v="7"/>
    <s v="USD"/>
    <n v="1440"/>
  </r>
  <r>
    <s v="1020US"/>
    <n v="28112"/>
    <d v="2018-10-12T00:00:00"/>
    <n v="8020"/>
    <n v="118"/>
    <m/>
    <n v="70"/>
    <n v="1260"/>
    <x v="1"/>
    <x v="1"/>
    <x v="8"/>
    <s v="USD"/>
    <n v="1260"/>
  </r>
  <r>
    <s v="1020US"/>
    <n v="25442"/>
    <d v="2018-10-16T00:00:00"/>
    <n v="8010"/>
    <n v="118"/>
    <m/>
    <n v="70"/>
    <n v="1260"/>
    <x v="1"/>
    <x v="2"/>
    <x v="8"/>
    <s v="USD"/>
    <n v="1260"/>
  </r>
  <r>
    <s v="1020US"/>
    <n v="25442"/>
    <d v="2018-10-16T00:00:00"/>
    <n v="8010"/>
    <n v="117"/>
    <n v="6"/>
    <n v="80"/>
    <n v="1440"/>
    <x v="1"/>
    <x v="2"/>
    <x v="7"/>
    <s v="USD"/>
    <n v="1440"/>
  </r>
  <r>
    <s v="1020US"/>
    <n v="25442"/>
    <d v="2018-10-16T00:00:00"/>
    <n v="8010"/>
    <n v="118"/>
    <m/>
    <n v="70"/>
    <n v="1260"/>
    <x v="1"/>
    <x v="2"/>
    <x v="8"/>
    <s v="USD"/>
    <n v="1260"/>
  </r>
  <r>
    <s v="1020US"/>
    <n v="25442"/>
    <d v="2018-10-16T00:00:00"/>
    <n v="8010"/>
    <n v="116"/>
    <n v="1"/>
    <n v="60"/>
    <n v="360"/>
    <x v="1"/>
    <x v="2"/>
    <x v="9"/>
    <s v="USD"/>
    <n v="360"/>
  </r>
  <r>
    <s v="1020US"/>
    <n v="25442"/>
    <d v="2018-10-16T00:00:00"/>
    <n v="8010"/>
    <n v="106"/>
    <m/>
    <n v="20"/>
    <n v="100"/>
    <x v="1"/>
    <x v="2"/>
    <x v="2"/>
    <s v="USD"/>
    <n v="100"/>
  </r>
  <r>
    <s v="1020US"/>
    <n v="25442"/>
    <d v="2018-10-16T00:00:00"/>
    <n v="8010"/>
    <n v="101"/>
    <m/>
    <n v="40"/>
    <n v="480"/>
    <x v="1"/>
    <x v="2"/>
    <x v="4"/>
    <s v="USD"/>
    <n v="480"/>
  </r>
  <r>
    <s v="1020US"/>
    <n v="25442"/>
    <d v="2018-10-16T00:00:00"/>
    <n v="8010"/>
    <n v="102"/>
    <m/>
    <n v="10"/>
    <n v="120"/>
    <x v="1"/>
    <x v="2"/>
    <x v="1"/>
    <s v="USD"/>
    <n v="1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ArticleReport"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A7:AB18" firstHeaderRow="1" firstDataRow="1" firstDataCol="1"/>
  <pivotFields count="13">
    <pivotField showAll="0"/>
    <pivotField showAll="0"/>
    <pivotField numFmtId="14" showAll="0"/>
    <pivotField showAll="0"/>
    <pivotField showAll="0"/>
    <pivotField dataField="1" showAll="0"/>
    <pivotField showAll="0"/>
    <pivotField showAll="0"/>
    <pivotField showAll="0"/>
    <pivotField showAll="0"/>
    <pivotField axis="axisRow" showAll="0">
      <items count="20">
        <item m="1" x="16"/>
        <item m="1" x="17"/>
        <item m="1" x="13"/>
        <item x="0"/>
        <item m="1" x="12"/>
        <item m="1" x="10"/>
        <item x="9"/>
        <item m="1" x="15"/>
        <item m="1" x="18"/>
        <item m="1" x="11"/>
        <item m="1" x="14"/>
        <item x="3"/>
        <item x="1"/>
        <item x="2"/>
        <item x="4"/>
        <item x="5"/>
        <item x="6"/>
        <item x="7"/>
        <item x="8"/>
        <item t="default"/>
      </items>
    </pivotField>
    <pivotField showAll="0"/>
    <pivotField showAll="0"/>
  </pivotFields>
  <rowFields count="1">
    <field x="10"/>
  </rowFields>
  <rowItems count="11">
    <i>
      <x v="3"/>
    </i>
    <i>
      <x v="6"/>
    </i>
    <i>
      <x v="11"/>
    </i>
    <i>
      <x v="12"/>
    </i>
    <i>
      <x v="13"/>
    </i>
    <i>
      <x v="14"/>
    </i>
    <i>
      <x v="15"/>
    </i>
    <i>
      <x v="16"/>
    </i>
    <i>
      <x v="17"/>
    </i>
    <i>
      <x v="18"/>
    </i>
    <i t="grand">
      <x/>
    </i>
  </rowItems>
  <colItems count="1">
    <i/>
  </colItems>
  <dataFields count="1">
    <dataField name="Count of Reject"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ReportTable"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V7:X9" firstHeaderRow="0" firstDataRow="1" firstDataCol="1"/>
  <pivotFields count="13">
    <pivotField showAll="0"/>
    <pivotField showAll="0"/>
    <pivotField numFmtId="14" showAll="0"/>
    <pivotField showAll="0"/>
    <pivotField showAll="0"/>
    <pivotField showAll="0"/>
    <pivotField dataField="1" showAll="0"/>
    <pivotField showAll="0"/>
    <pivotField showAll="0">
      <items count="4">
        <item x="0"/>
        <item h="1" m="1" x="2"/>
        <item h="1" x="1"/>
        <item t="default"/>
      </items>
    </pivotField>
    <pivotField showAll="0"/>
    <pivotField axis="axisRow" showAll="0">
      <items count="20">
        <item m="1" x="16"/>
        <item m="1" x="17"/>
        <item m="1" x="13"/>
        <item x="0"/>
        <item m="1" x="12"/>
        <item m="1" x="10"/>
        <item x="9"/>
        <item m="1" x="15"/>
        <item m="1" x="18"/>
        <item m="1" x="11"/>
        <item m="1" x="14"/>
        <item x="3"/>
        <item x="1"/>
        <item x="2"/>
        <item x="4"/>
        <item x="5"/>
        <item x="6"/>
        <item x="7"/>
        <item x="8"/>
        <item t="default"/>
      </items>
    </pivotField>
    <pivotField showAll="0"/>
    <pivotField dataField="1" showAll="0"/>
  </pivotFields>
  <rowFields count="1">
    <field x="10"/>
  </rowFields>
  <rowItems count="2">
    <i>
      <x v="3"/>
    </i>
    <i t="grand">
      <x/>
    </i>
  </rowItems>
  <colFields count="1">
    <field x="-2"/>
  </colFields>
  <colItems count="2">
    <i>
      <x/>
    </i>
    <i i="1">
      <x v="1"/>
    </i>
  </colItems>
  <dataFields count="2">
    <dataField name="Sum of Quantity" fld="6" baseField="0" baseItem="0"/>
    <dataField name="Sum of Sales in Us $"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rowHeaderCaption="Customer name">
  <location ref="R4:S8" firstHeaderRow="1" firstDataRow="1" firstDataCol="1"/>
  <pivotFields count="13">
    <pivotField showAll="0"/>
    <pivotField showAll="0"/>
    <pivotField numFmtId="14" showAll="0"/>
    <pivotField showAll="0"/>
    <pivotField showAll="0"/>
    <pivotField showAll="0"/>
    <pivotField showAll="0"/>
    <pivotField showAll="0"/>
    <pivotField showAll="0"/>
    <pivotField axis="axisRow" showAll="0">
      <items count="7">
        <item x="0"/>
        <item m="1" x="3"/>
        <item m="1" x="5"/>
        <item m="1" x="4"/>
        <item x="1"/>
        <item x="2"/>
        <item t="default"/>
      </items>
    </pivotField>
    <pivotField showAll="0"/>
    <pivotField showAll="0"/>
    <pivotField dataField="1" showAll="0"/>
  </pivotFields>
  <rowFields count="1">
    <field x="9"/>
  </rowFields>
  <rowItems count="4">
    <i>
      <x/>
    </i>
    <i>
      <x v="4"/>
    </i>
    <i>
      <x v="5"/>
    </i>
    <i t="grand">
      <x/>
    </i>
  </rowItems>
  <colItems count="1">
    <i/>
  </colItems>
  <dataFields count="1">
    <dataField name="Sum of Sales in Us $" fld="12"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mpany_Name" sourceName="Company Name">
  <pivotTables>
    <pivotTable tabId="7" name="ReportTable"/>
  </pivotTables>
  <data>
    <tabular pivotCacheId="1">
      <items count="3">
        <i x="0" s="1"/>
        <i x="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mpany Name" cache="Slicer_Company_Name" caption="Company Name" showCaption="0" rowHeight="225425"/>
</slicers>
</file>

<file path=xl/tables/table1.xml><?xml version="1.0" encoding="utf-8"?>
<table xmlns="http://schemas.openxmlformats.org/spreadsheetml/2006/main" id="1" name="TempTable" displayName="TempTable" ref="A1:M43" totalsRowShown="0" headerRowDxfId="9">
  <autoFilter ref="A1:M43"/>
  <tableColumns count="13">
    <tableColumn id="1" name="Company ID" dataDxfId="1"/>
    <tableColumn id="2" name="Sales Document"/>
    <tableColumn id="3" name="Document Date" dataDxfId="0"/>
    <tableColumn id="4" name="Customer code"/>
    <tableColumn id="5" name="Article code"/>
    <tableColumn id="6" name="Reject"/>
    <tableColumn id="7" name="Quantity"/>
    <tableColumn id="8" name="Sales Local Curr"/>
    <tableColumn id="9" name="Company Name" dataDxfId="8">
      <calculatedColumnFormula>VLOOKUP(TempTable[[#This Row],[Company ID]],MCompany[],2,FALSE)</calculatedColumnFormula>
    </tableColumn>
    <tableColumn id="10" name="Customer Name" dataDxfId="7">
      <calculatedColumnFormula>VLOOKUP(TempTable[[#This Row],[Customer code]],MCustomer[],2,FALSE)</calculatedColumnFormula>
    </tableColumn>
    <tableColumn id="11" name="Article Desc" dataDxfId="6">
      <calculatedColumnFormula>VLOOKUP(TempTable[[#This Row],[Article code]],MArticle[],2,FALSE)</calculatedColumnFormula>
    </tableColumn>
    <tableColumn id="12" name="Currency" dataDxfId="5">
      <calculatedColumnFormula>VLOOKUP(TempTable[[#This Row],[Company ID]],MCompany[],3,FALSE)</calculatedColumnFormula>
    </tableColumn>
    <tableColumn id="13" name="Sales in Us $" dataDxfId="4">
      <calculatedColumnFormula>IF(TempTable[[#This Row],[Currency]]="EUR",ROUND(VLOOKUP(MONTH(TempTable[[#This Row],[Document Date]]),MExchange[],2,FALSE)*TempTable[[#This Row],[Sales Local Curr]],2),ROUND(TempTable[[#This Row],[Sales Local Curr]],2))</calculatedColumnFormula>
    </tableColumn>
  </tableColumns>
  <tableStyleInfo showFirstColumn="0" showLastColumn="0" showRowStripes="1" showColumnStripes="0"/>
</table>
</file>

<file path=xl/tables/table2.xml><?xml version="1.0" encoding="utf-8"?>
<table xmlns="http://schemas.openxmlformats.org/spreadsheetml/2006/main" id="2" name="MCompany" displayName="MCompany" ref="B8:E12" tableBorderDxfId="3">
  <autoFilter ref="B8:E12">
    <filterColumn colId="0" hiddenButton="1"/>
    <filterColumn colId="1" hiddenButton="1"/>
    <filterColumn colId="2" hiddenButton="1"/>
    <filterColumn colId="3" hiddenButton="1"/>
  </autoFilter>
  <tableColumns count="4">
    <tableColumn id="1" name="Company code" totalsRowLabel="Total"/>
    <tableColumn id="2" name="Company Name"/>
    <tableColumn id="3" name="Currency" totalsRowFunction="count"/>
    <tableColumn id="4" name="Region"/>
  </tableColumns>
  <tableStyleInfo showFirstColumn="0" showLastColumn="0" showRowStripes="1" showColumnStripes="0"/>
</table>
</file>

<file path=xl/tables/table3.xml><?xml version="1.0" encoding="utf-8"?>
<table xmlns="http://schemas.openxmlformats.org/spreadsheetml/2006/main" id="3" name="MCustomer" displayName="MCustomer" ref="B16:C22" totalsRowShown="0">
  <autoFilter ref="B16:C22">
    <filterColumn colId="0" hiddenButton="1"/>
    <filterColumn colId="1" hiddenButton="1"/>
  </autoFilter>
  <tableColumns count="2">
    <tableColumn id="1" name="Customer code"/>
    <tableColumn id="2" name="Customer Name"/>
  </tableColumns>
  <tableStyleInfo name="Table Style 1" showFirstColumn="0" showLastColumn="0" showRowStripes="1" showColumnStripes="0"/>
</table>
</file>

<file path=xl/tables/table4.xml><?xml version="1.0" encoding="utf-8"?>
<table xmlns="http://schemas.openxmlformats.org/spreadsheetml/2006/main" id="4" name="MArticle" displayName="MArticle" ref="B26:C46" totalsRowShown="0">
  <autoFilter ref="B26:C46">
    <filterColumn colId="0" hiddenButton="1"/>
    <filterColumn colId="1" hiddenButton="1"/>
  </autoFilter>
  <tableColumns count="2">
    <tableColumn id="1" name="Article code" dataDxfId="2"/>
    <tableColumn id="2" name="Description"/>
  </tableColumns>
  <tableStyleInfo name="Table Style 1" showFirstColumn="0" showLastColumn="0" showRowStripes="1" showColumnStripes="0"/>
</table>
</file>

<file path=xl/tables/table5.xml><?xml version="1.0" encoding="utf-8"?>
<table xmlns="http://schemas.openxmlformats.org/spreadsheetml/2006/main" id="5" name="MExchange" displayName="MExchange" ref="B52:C64" totalsRowShown="0">
  <autoFilter ref="B52:C64">
    <filterColumn colId="0" hiddenButton="1"/>
    <filterColumn colId="1" hiddenButton="1"/>
  </autoFilter>
  <tableColumns count="2">
    <tableColumn id="1" name="Month"/>
    <tableColumn id="2"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tart"/>
  <dimension ref="A1:Q37"/>
  <sheetViews>
    <sheetView showGridLines="0" tabSelected="1" zoomScale="110" zoomScaleNormal="110" workbookViewId="0">
      <selection activeCell="J5" sqref="J5"/>
    </sheetView>
  </sheetViews>
  <sheetFormatPr defaultColWidth="0" defaultRowHeight="12.75" zeroHeight="1" x14ac:dyDescent="0.2"/>
  <cols>
    <col min="1" max="1" width="4" customWidth="1"/>
    <col min="2" max="2" width="9.140625" customWidth="1"/>
    <col min="3" max="3" width="19.85546875" customWidth="1"/>
    <col min="4" max="4" width="9.140625" customWidth="1"/>
    <col min="5" max="5" width="5.85546875" customWidth="1"/>
    <col min="6" max="6" width="9.140625" customWidth="1"/>
    <col min="7" max="7" width="12.85546875" customWidth="1"/>
    <col min="8" max="8" width="4.5703125" customWidth="1"/>
    <col min="9" max="14" width="9.140625" customWidth="1"/>
    <col min="15" max="15" width="9.28515625" customWidth="1"/>
    <col min="16" max="17" width="9.140625" customWidth="1"/>
    <col min="18" max="16384" width="9.140625" hidden="1"/>
  </cols>
  <sheetData>
    <row r="1" spans="3:8" ht="28.9" customHeight="1" x14ac:dyDescent="0.2"/>
    <row r="2" spans="3:8" ht="11.65" customHeight="1" x14ac:dyDescent="0.2"/>
    <row r="3" spans="3:8" x14ac:dyDescent="0.2"/>
    <row r="4" spans="3:8" x14ac:dyDescent="0.2"/>
    <row r="5" spans="3:8" x14ac:dyDescent="0.2"/>
    <row r="6" spans="3:8" x14ac:dyDescent="0.2"/>
    <row r="7" spans="3:8" x14ac:dyDescent="0.2"/>
    <row r="8" spans="3:8" x14ac:dyDescent="0.2"/>
    <row r="9" spans="3:8" x14ac:dyDescent="0.2"/>
    <row r="10" spans="3:8" x14ac:dyDescent="0.2"/>
    <row r="11" spans="3:8" x14ac:dyDescent="0.2">
      <c r="C11" t="s">
        <v>81</v>
      </c>
    </row>
    <row r="12" spans="3:8" x14ac:dyDescent="0.2">
      <c r="C12" t="s">
        <v>83</v>
      </c>
      <c r="H12" s="7"/>
    </row>
    <row r="13" spans="3:8" x14ac:dyDescent="0.2">
      <c r="C13" t="s">
        <v>82</v>
      </c>
      <c r="H13" s="7"/>
    </row>
    <row r="14" spans="3:8" x14ac:dyDescent="0.2"/>
    <row r="15" spans="3:8" hidden="1" x14ac:dyDescent="0.2"/>
    <row r="16" spans="3:8" hidden="1" x14ac:dyDescent="0.2"/>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row r="26" hidden="1" x14ac:dyDescent="0.2"/>
    <row r="27" hidden="1" x14ac:dyDescent="0.2"/>
    <row r="28" hidden="1" x14ac:dyDescent="0.2"/>
    <row r="29" hidden="1" x14ac:dyDescent="0.2"/>
    <row r="30" hidden="1" x14ac:dyDescent="0.2"/>
    <row r="31" hidden="1" x14ac:dyDescent="0.2"/>
    <row r="32" hidden="1" x14ac:dyDescent="0.2"/>
    <row r="33" hidden="1" x14ac:dyDescent="0.2"/>
    <row r="34" hidden="1" x14ac:dyDescent="0.2"/>
    <row r="35" hidden="1" x14ac:dyDescent="0.2"/>
    <row r="36" hidden="1" x14ac:dyDescent="0.2"/>
    <row r="37" hidden="1" x14ac:dyDescent="0.2"/>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AxRegion">
          <controlPr defaultSize="0" autoLine="0" listFillRange="MRegion" r:id="rId5">
            <anchor moveWithCells="1">
              <from>
                <xdr:col>3</xdr:col>
                <xdr:colOff>438150</xdr:colOff>
                <xdr:row>7</xdr:row>
                <xdr:rowOff>38100</xdr:rowOff>
              </from>
              <to>
                <xdr:col>5</xdr:col>
                <xdr:colOff>390525</xdr:colOff>
                <xdr:row>8</xdr:row>
                <xdr:rowOff>95250</xdr:rowOff>
              </to>
            </anchor>
          </controlPr>
        </control>
      </mc:Choice>
      <mc:Fallback>
        <control shapeId="1026" r:id="rId4" name="AxRegion"/>
      </mc:Fallback>
    </mc:AlternateContent>
    <mc:AlternateContent xmlns:mc="http://schemas.openxmlformats.org/markup-compatibility/2006">
      <mc:Choice Requires="x14">
        <control shapeId="1025" r:id="rId6" name="Button 1">
          <controlPr defaultSize="0" print="0" autoFill="0" autoPict="0" macro="[0]!ImportSheet.Importsheet">
            <anchor moveWithCells="1" sizeWithCells="1">
              <from>
                <xdr:col>2</xdr:col>
                <xdr:colOff>152400</xdr:colOff>
                <xdr:row>7</xdr:row>
                <xdr:rowOff>47625</xdr:rowOff>
              </from>
              <to>
                <xdr:col>2</xdr:col>
                <xdr:colOff>1123950</xdr:colOff>
                <xdr:row>9</xdr:row>
                <xdr:rowOff>28575</xdr:rowOff>
              </to>
            </anchor>
          </controlPr>
        </control>
      </mc:Choice>
    </mc:AlternateContent>
    <mc:AlternateContent xmlns:mc="http://schemas.openxmlformats.org/markup-compatibility/2006">
      <mc:Choice Requires="x14">
        <control shapeId="1027" r:id="rId7" name="Button 3">
          <controlPr defaultSize="0" print="0" autoFill="0" autoPict="0" macro="[0]!admin_task">
            <anchor moveWithCells="1" sizeWithCells="1">
              <from>
                <xdr:col>6</xdr:col>
                <xdr:colOff>523875</xdr:colOff>
                <xdr:row>6</xdr:row>
                <xdr:rowOff>152400</xdr:rowOff>
              </from>
              <to>
                <xdr:col>8</xdr:col>
                <xdr:colOff>600075</xdr:colOff>
                <xdr:row>8</xdr:row>
                <xdr:rowOff>114300</xdr:rowOff>
              </to>
            </anchor>
          </controlPr>
        </control>
      </mc:Choice>
    </mc:AlternateContent>
    <mc:AlternateContent xmlns:mc="http://schemas.openxmlformats.org/markup-compatibility/2006">
      <mc:Choice Requires="x14">
        <control shapeId="1028" r:id="rId8" name="Button 4">
          <controlPr defaultSize="0" print="0" autoFill="0" autoPict="0" macro="[0]!Createreport">
            <anchor moveWithCells="1" sizeWithCells="1">
              <from>
                <xdr:col>3</xdr:col>
                <xdr:colOff>409575</xdr:colOff>
                <xdr:row>4</xdr:row>
                <xdr:rowOff>38100</xdr:rowOff>
              </from>
              <to>
                <xdr:col>5</xdr:col>
                <xdr:colOff>485775</xdr:colOff>
                <xdr:row>6</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All"/>
  <dimension ref="A1:H197"/>
  <sheetViews>
    <sheetView workbookViewId="0">
      <selection activeCell="H177" sqref="H177:H197"/>
    </sheetView>
  </sheetViews>
  <sheetFormatPr defaultColWidth="9.140625" defaultRowHeight="12.75" x14ac:dyDescent="0.2"/>
  <cols>
    <col min="1" max="1" width="13.5703125" style="8" customWidth="1"/>
    <col min="2" max="8" width="16" style="8" customWidth="1"/>
    <col min="9" max="16384" width="9.140625" style="8"/>
  </cols>
  <sheetData>
    <row r="1" spans="1:8" s="10" customFormat="1" x14ac:dyDescent="0.2">
      <c r="A1" s="9" t="s">
        <v>39</v>
      </c>
      <c r="B1" s="9" t="s">
        <v>2</v>
      </c>
      <c r="C1" s="9" t="s">
        <v>40</v>
      </c>
      <c r="D1" s="9" t="s">
        <v>49</v>
      </c>
      <c r="E1" s="9" t="s">
        <v>52</v>
      </c>
      <c r="F1" s="9" t="s">
        <v>43</v>
      </c>
      <c r="G1" s="9" t="s">
        <v>41</v>
      </c>
      <c r="H1" s="9" t="s">
        <v>42</v>
      </c>
    </row>
    <row r="2" spans="1:8" x14ac:dyDescent="0.2">
      <c r="A2" s="8" t="s">
        <v>30</v>
      </c>
      <c r="B2">
        <v>84030</v>
      </c>
      <c r="C2" s="27">
        <v>43380</v>
      </c>
      <c r="D2">
        <v>8050</v>
      </c>
      <c r="E2">
        <v>120</v>
      </c>
      <c r="F2" t="s">
        <v>88</v>
      </c>
      <c r="G2">
        <v>120</v>
      </c>
      <c r="H2">
        <v>6960</v>
      </c>
    </row>
    <row r="3" spans="1:8" x14ac:dyDescent="0.2">
      <c r="A3" s="8" t="s">
        <v>30</v>
      </c>
      <c r="B3">
        <v>84030</v>
      </c>
      <c r="C3" s="27">
        <v>43380</v>
      </c>
      <c r="D3">
        <v>8050</v>
      </c>
      <c r="E3">
        <v>104</v>
      </c>
      <c r="F3">
        <v>1</v>
      </c>
      <c r="G3">
        <v>430</v>
      </c>
      <c r="H3">
        <v>5160</v>
      </c>
    </row>
    <row r="4" spans="1:8" x14ac:dyDescent="0.2">
      <c r="A4" s="8" t="s">
        <v>30</v>
      </c>
      <c r="B4">
        <v>84030</v>
      </c>
      <c r="C4" s="27">
        <v>43380</v>
      </c>
      <c r="D4">
        <v>8050</v>
      </c>
      <c r="E4">
        <v>105</v>
      </c>
      <c r="F4" t="s">
        <v>88</v>
      </c>
      <c r="G4">
        <v>120</v>
      </c>
      <c r="H4">
        <v>1200</v>
      </c>
    </row>
    <row r="5" spans="1:8" x14ac:dyDescent="0.2">
      <c r="A5" s="8" t="s">
        <v>30</v>
      </c>
      <c r="B5">
        <v>84030</v>
      </c>
      <c r="C5" s="27">
        <v>43380</v>
      </c>
      <c r="D5">
        <v>8050</v>
      </c>
      <c r="E5">
        <v>107</v>
      </c>
      <c r="F5">
        <v>1</v>
      </c>
      <c r="G5">
        <v>690</v>
      </c>
      <c r="H5">
        <v>3450</v>
      </c>
    </row>
    <row r="6" spans="1:8" x14ac:dyDescent="0.2">
      <c r="A6" s="8" t="s">
        <v>30</v>
      </c>
      <c r="B6">
        <v>84031</v>
      </c>
      <c r="C6" s="27">
        <v>43381</v>
      </c>
      <c r="D6">
        <v>8040</v>
      </c>
      <c r="E6">
        <v>104</v>
      </c>
      <c r="F6" t="s">
        <v>88</v>
      </c>
      <c r="G6">
        <v>870</v>
      </c>
      <c r="H6">
        <v>10440</v>
      </c>
    </row>
    <row r="7" spans="1:8" x14ac:dyDescent="0.2">
      <c r="A7" s="8" t="s">
        <v>30</v>
      </c>
      <c r="B7">
        <v>84031</v>
      </c>
      <c r="C7" s="27">
        <v>43381</v>
      </c>
      <c r="D7">
        <v>8040</v>
      </c>
      <c r="E7">
        <v>107</v>
      </c>
      <c r="F7" t="s">
        <v>88</v>
      </c>
      <c r="G7">
        <v>760</v>
      </c>
      <c r="H7">
        <v>3800</v>
      </c>
    </row>
    <row r="8" spans="1:8" x14ac:dyDescent="0.2">
      <c r="A8" s="8" t="s">
        <v>30</v>
      </c>
      <c r="B8">
        <v>84031</v>
      </c>
      <c r="C8" s="27">
        <v>43381</v>
      </c>
      <c r="D8">
        <v>8040</v>
      </c>
      <c r="E8">
        <v>110</v>
      </c>
      <c r="F8">
        <v>2</v>
      </c>
      <c r="G8">
        <v>500</v>
      </c>
      <c r="H8">
        <v>30000</v>
      </c>
    </row>
    <row r="9" spans="1:8" x14ac:dyDescent="0.2">
      <c r="A9" s="8" t="s">
        <v>30</v>
      </c>
      <c r="B9">
        <v>88112</v>
      </c>
      <c r="C9" s="27">
        <v>43384</v>
      </c>
      <c r="D9">
        <v>8040</v>
      </c>
      <c r="E9">
        <v>110</v>
      </c>
      <c r="F9"/>
      <c r="G9">
        <v>480</v>
      </c>
      <c r="H9">
        <v>28800</v>
      </c>
    </row>
    <row r="10" spans="1:8" x14ac:dyDescent="0.2">
      <c r="A10" s="8" t="s">
        <v>30</v>
      </c>
      <c r="B10">
        <v>88112</v>
      </c>
      <c r="C10" s="27">
        <v>43384</v>
      </c>
      <c r="D10">
        <v>8040</v>
      </c>
      <c r="E10">
        <v>119</v>
      </c>
      <c r="F10" t="s">
        <v>88</v>
      </c>
      <c r="G10">
        <v>630</v>
      </c>
      <c r="H10">
        <v>39060</v>
      </c>
    </row>
    <row r="11" spans="1:8" x14ac:dyDescent="0.2">
      <c r="A11" s="8" t="s">
        <v>30</v>
      </c>
      <c r="B11">
        <v>88112</v>
      </c>
      <c r="C11" s="27">
        <v>43384</v>
      </c>
      <c r="D11">
        <v>8040</v>
      </c>
      <c r="E11">
        <v>120</v>
      </c>
      <c r="F11"/>
      <c r="G11">
        <v>150</v>
      </c>
      <c r="H11">
        <v>8700</v>
      </c>
    </row>
    <row r="12" spans="1:8" x14ac:dyDescent="0.2">
      <c r="A12" s="8" t="s">
        <v>30</v>
      </c>
      <c r="B12">
        <v>88112</v>
      </c>
      <c r="C12" s="27">
        <v>43384</v>
      </c>
      <c r="D12">
        <v>8040</v>
      </c>
      <c r="E12">
        <v>116</v>
      </c>
      <c r="F12">
        <v>4</v>
      </c>
      <c r="G12">
        <v>760</v>
      </c>
      <c r="H12">
        <v>4560</v>
      </c>
    </row>
    <row r="13" spans="1:8" x14ac:dyDescent="0.2">
      <c r="A13" s="8" t="s">
        <v>30</v>
      </c>
      <c r="B13">
        <v>88112</v>
      </c>
      <c r="C13" s="27">
        <v>43384</v>
      </c>
      <c r="D13">
        <v>8040</v>
      </c>
      <c r="E13">
        <v>111</v>
      </c>
      <c r="F13"/>
      <c r="G13">
        <v>590</v>
      </c>
      <c r="H13">
        <v>11800</v>
      </c>
    </row>
    <row r="14" spans="1:8" x14ac:dyDescent="0.2">
      <c r="A14" s="8" t="s">
        <v>30</v>
      </c>
      <c r="B14">
        <v>88112</v>
      </c>
      <c r="C14" s="27">
        <v>43384</v>
      </c>
      <c r="D14">
        <v>8040</v>
      </c>
      <c r="E14">
        <v>110</v>
      </c>
      <c r="F14"/>
      <c r="G14">
        <v>530</v>
      </c>
      <c r="H14">
        <v>31800</v>
      </c>
    </row>
    <row r="15" spans="1:8" x14ac:dyDescent="0.2">
      <c r="A15" s="8" t="s">
        <v>30</v>
      </c>
      <c r="B15">
        <v>88112</v>
      </c>
      <c r="C15" s="27">
        <v>43384</v>
      </c>
      <c r="D15">
        <v>8040</v>
      </c>
      <c r="E15">
        <v>109</v>
      </c>
      <c r="F15"/>
      <c r="G15">
        <v>260</v>
      </c>
      <c r="H15">
        <v>7280</v>
      </c>
    </row>
    <row r="16" spans="1:8" x14ac:dyDescent="0.2">
      <c r="A16" s="8" t="s">
        <v>30</v>
      </c>
      <c r="B16">
        <v>85442</v>
      </c>
      <c r="C16" s="27">
        <v>43388</v>
      </c>
      <c r="D16">
        <v>8050</v>
      </c>
      <c r="E16">
        <v>107</v>
      </c>
      <c r="F16"/>
      <c r="G16">
        <v>270</v>
      </c>
      <c r="H16">
        <v>1350</v>
      </c>
    </row>
    <row r="17" spans="1:8" x14ac:dyDescent="0.2">
      <c r="A17" s="8" t="s">
        <v>30</v>
      </c>
      <c r="B17">
        <v>85442</v>
      </c>
      <c r="C17" s="27">
        <v>43388</v>
      </c>
      <c r="D17">
        <v>8050</v>
      </c>
      <c r="E17">
        <v>103</v>
      </c>
      <c r="F17"/>
      <c r="G17">
        <v>630</v>
      </c>
      <c r="H17">
        <v>7560</v>
      </c>
    </row>
    <row r="18" spans="1:8" x14ac:dyDescent="0.2">
      <c r="A18" s="8" t="s">
        <v>30</v>
      </c>
      <c r="B18">
        <v>85442</v>
      </c>
      <c r="C18" s="27">
        <v>43388</v>
      </c>
      <c r="D18">
        <v>8050</v>
      </c>
      <c r="E18">
        <v>104</v>
      </c>
      <c r="F18"/>
      <c r="G18">
        <v>440</v>
      </c>
      <c r="H18">
        <v>5280</v>
      </c>
    </row>
    <row r="19" spans="1:8" x14ac:dyDescent="0.2">
      <c r="A19" s="8" t="s">
        <v>30</v>
      </c>
      <c r="B19">
        <v>85442</v>
      </c>
      <c r="C19" s="27">
        <v>43388</v>
      </c>
      <c r="D19">
        <v>8050</v>
      </c>
      <c r="E19">
        <v>120</v>
      </c>
      <c r="F19"/>
      <c r="G19">
        <v>500</v>
      </c>
      <c r="H19">
        <v>29000</v>
      </c>
    </row>
    <row r="20" spans="1:8" x14ac:dyDescent="0.2">
      <c r="A20" s="8" t="s">
        <v>30</v>
      </c>
      <c r="B20">
        <v>85442</v>
      </c>
      <c r="C20" s="27">
        <v>43388</v>
      </c>
      <c r="D20">
        <v>8050</v>
      </c>
      <c r="E20">
        <v>119</v>
      </c>
      <c r="F20">
        <v>1</v>
      </c>
      <c r="G20">
        <v>360</v>
      </c>
      <c r="H20">
        <v>22320</v>
      </c>
    </row>
    <row r="21" spans="1:8" x14ac:dyDescent="0.2">
      <c r="A21" s="8" t="s">
        <v>30</v>
      </c>
      <c r="B21">
        <v>85442</v>
      </c>
      <c r="C21" s="27">
        <v>43388</v>
      </c>
      <c r="D21">
        <v>8050</v>
      </c>
      <c r="E21">
        <v>115</v>
      </c>
      <c r="F21"/>
      <c r="G21">
        <v>810</v>
      </c>
      <c r="H21">
        <v>4860</v>
      </c>
    </row>
    <row r="22" spans="1:8" x14ac:dyDescent="0.2">
      <c r="A22" s="8" t="s">
        <v>30</v>
      </c>
      <c r="B22">
        <v>85442</v>
      </c>
      <c r="C22" s="27">
        <v>43388</v>
      </c>
      <c r="D22">
        <v>8050</v>
      </c>
      <c r="E22">
        <v>108</v>
      </c>
      <c r="F22"/>
      <c r="G22">
        <v>800</v>
      </c>
      <c r="H22">
        <v>22400</v>
      </c>
    </row>
    <row r="23" spans="1:8" x14ac:dyDescent="0.2">
      <c r="A23" s="8" t="s">
        <v>30</v>
      </c>
      <c r="B23">
        <v>88588</v>
      </c>
      <c r="C23" s="27">
        <v>43388</v>
      </c>
      <c r="D23">
        <v>8040</v>
      </c>
      <c r="E23">
        <v>120</v>
      </c>
      <c r="F23"/>
      <c r="G23">
        <v>470</v>
      </c>
      <c r="H23">
        <v>27260</v>
      </c>
    </row>
    <row r="24" spans="1:8" x14ac:dyDescent="0.2">
      <c r="A24" s="8" t="s">
        <v>30</v>
      </c>
      <c r="B24">
        <v>88588</v>
      </c>
      <c r="C24" s="27">
        <v>43388</v>
      </c>
      <c r="D24">
        <v>8040</v>
      </c>
      <c r="E24">
        <v>119</v>
      </c>
      <c r="F24"/>
      <c r="G24">
        <v>860</v>
      </c>
      <c r="H24">
        <v>53320</v>
      </c>
    </row>
    <row r="25" spans="1:8" x14ac:dyDescent="0.2">
      <c r="A25" s="8" t="s">
        <v>30</v>
      </c>
      <c r="B25">
        <v>88588</v>
      </c>
      <c r="C25" s="27">
        <v>43388</v>
      </c>
      <c r="D25">
        <v>8040</v>
      </c>
      <c r="E25">
        <v>110</v>
      </c>
      <c r="F25"/>
      <c r="G25">
        <v>180</v>
      </c>
      <c r="H25">
        <v>10800</v>
      </c>
    </row>
    <row r="26" spans="1:8" x14ac:dyDescent="0.2">
      <c r="A26" s="8" t="s">
        <v>30</v>
      </c>
      <c r="B26">
        <v>88588</v>
      </c>
      <c r="C26" s="27">
        <v>43388</v>
      </c>
      <c r="D26">
        <v>8040</v>
      </c>
      <c r="E26">
        <v>111</v>
      </c>
      <c r="F26"/>
      <c r="G26">
        <v>750</v>
      </c>
      <c r="H26">
        <v>15000</v>
      </c>
    </row>
    <row r="27" spans="1:8" x14ac:dyDescent="0.2">
      <c r="A27" s="8" t="s">
        <v>30</v>
      </c>
      <c r="B27">
        <v>88588</v>
      </c>
      <c r="C27" s="27">
        <v>43388</v>
      </c>
      <c r="D27">
        <v>8040</v>
      </c>
      <c r="E27">
        <v>109</v>
      </c>
      <c r="F27"/>
      <c r="G27">
        <v>560</v>
      </c>
      <c r="H27">
        <v>15680</v>
      </c>
    </row>
    <row r="28" spans="1:8" x14ac:dyDescent="0.2">
      <c r="A28" s="8" t="s">
        <v>30</v>
      </c>
      <c r="B28">
        <v>88588</v>
      </c>
      <c r="C28" s="27">
        <v>43388</v>
      </c>
      <c r="D28">
        <v>8040</v>
      </c>
      <c r="E28">
        <v>105</v>
      </c>
      <c r="F28"/>
      <c r="G28">
        <v>130</v>
      </c>
      <c r="H28">
        <v>1300</v>
      </c>
    </row>
    <row r="29" spans="1:8" x14ac:dyDescent="0.2">
      <c r="A29" s="8" t="s">
        <v>30</v>
      </c>
      <c r="B29">
        <v>88588</v>
      </c>
      <c r="C29" s="27">
        <v>43388</v>
      </c>
      <c r="D29">
        <v>8040</v>
      </c>
      <c r="E29">
        <v>103</v>
      </c>
      <c r="F29"/>
      <c r="G29">
        <v>110</v>
      </c>
      <c r="H29">
        <v>1320</v>
      </c>
    </row>
    <row r="30" spans="1:8" x14ac:dyDescent="0.2">
      <c r="A30" s="8" t="s">
        <v>30</v>
      </c>
      <c r="B30">
        <v>88544</v>
      </c>
      <c r="C30" s="27">
        <v>43395</v>
      </c>
      <c r="D30">
        <v>8040</v>
      </c>
      <c r="E30">
        <v>107</v>
      </c>
      <c r="F30"/>
      <c r="G30">
        <v>770</v>
      </c>
      <c r="H30">
        <v>3850</v>
      </c>
    </row>
    <row r="31" spans="1:8" x14ac:dyDescent="0.2">
      <c r="A31" s="8" t="s">
        <v>30</v>
      </c>
      <c r="B31">
        <v>88544</v>
      </c>
      <c r="C31" s="27">
        <v>43395</v>
      </c>
      <c r="D31">
        <v>8040</v>
      </c>
      <c r="E31">
        <v>120</v>
      </c>
      <c r="F31"/>
      <c r="G31">
        <v>300</v>
      </c>
      <c r="H31">
        <v>17400</v>
      </c>
    </row>
    <row r="32" spans="1:8" x14ac:dyDescent="0.2">
      <c r="A32" s="8" t="s">
        <v>30</v>
      </c>
      <c r="B32">
        <v>88666</v>
      </c>
      <c r="C32" s="27">
        <v>43399</v>
      </c>
      <c r="D32">
        <v>8030</v>
      </c>
      <c r="E32">
        <v>119</v>
      </c>
      <c r="F32"/>
      <c r="G32">
        <v>330</v>
      </c>
      <c r="H32">
        <v>20460</v>
      </c>
    </row>
    <row r="33" spans="1:8" x14ac:dyDescent="0.2">
      <c r="A33" s="8" t="s">
        <v>30</v>
      </c>
      <c r="B33">
        <v>88666</v>
      </c>
      <c r="C33" s="27">
        <v>43399</v>
      </c>
      <c r="D33">
        <v>8030</v>
      </c>
      <c r="E33">
        <v>107</v>
      </c>
      <c r="F33"/>
      <c r="G33">
        <v>460</v>
      </c>
      <c r="H33">
        <v>2300</v>
      </c>
    </row>
    <row r="34" spans="1:8" x14ac:dyDescent="0.2">
      <c r="A34" s="8" t="s">
        <v>30</v>
      </c>
      <c r="B34">
        <v>88666</v>
      </c>
      <c r="C34" s="27">
        <v>43399</v>
      </c>
      <c r="D34">
        <v>8030</v>
      </c>
      <c r="E34">
        <v>105</v>
      </c>
      <c r="F34">
        <v>1</v>
      </c>
      <c r="G34">
        <v>470</v>
      </c>
      <c r="H34">
        <v>4700</v>
      </c>
    </row>
    <row r="35" spans="1:8" x14ac:dyDescent="0.2">
      <c r="A35" s="8" t="s">
        <v>30</v>
      </c>
      <c r="B35">
        <v>88666</v>
      </c>
      <c r="C35" s="27">
        <v>43399</v>
      </c>
      <c r="D35">
        <v>8030</v>
      </c>
      <c r="E35">
        <v>115</v>
      </c>
      <c r="F35"/>
      <c r="G35">
        <v>390</v>
      </c>
      <c r="H35">
        <v>2340</v>
      </c>
    </row>
    <row r="36" spans="1:8" x14ac:dyDescent="0.2">
      <c r="A36" s="8" t="s">
        <v>30</v>
      </c>
      <c r="B36">
        <v>88666</v>
      </c>
      <c r="C36" s="27">
        <v>43399</v>
      </c>
      <c r="D36">
        <v>8030</v>
      </c>
      <c r="E36">
        <v>116</v>
      </c>
      <c r="F36"/>
      <c r="G36">
        <v>260</v>
      </c>
      <c r="H36">
        <v>1560</v>
      </c>
    </row>
    <row r="37" spans="1:8" x14ac:dyDescent="0.2">
      <c r="A37" s="8" t="s">
        <v>31</v>
      </c>
      <c r="B37">
        <v>44030</v>
      </c>
      <c r="C37" s="27">
        <v>43377</v>
      </c>
      <c r="D37">
        <v>8060</v>
      </c>
      <c r="E37">
        <v>108</v>
      </c>
      <c r="F37" t="s">
        <v>88</v>
      </c>
      <c r="G37">
        <v>60</v>
      </c>
      <c r="H37">
        <v>1680</v>
      </c>
    </row>
    <row r="38" spans="1:8" x14ac:dyDescent="0.2">
      <c r="A38" s="8" t="s">
        <v>31</v>
      </c>
      <c r="B38">
        <v>44030</v>
      </c>
      <c r="C38" s="27">
        <v>43377</v>
      </c>
      <c r="D38">
        <v>8060</v>
      </c>
      <c r="E38">
        <v>109</v>
      </c>
      <c r="F38">
        <v>1</v>
      </c>
      <c r="G38">
        <v>60</v>
      </c>
      <c r="H38">
        <v>1680</v>
      </c>
    </row>
    <row r="39" spans="1:8" x14ac:dyDescent="0.2">
      <c r="A39" s="8" t="s">
        <v>31</v>
      </c>
      <c r="B39">
        <v>44032</v>
      </c>
      <c r="C39" s="27">
        <v>43380</v>
      </c>
      <c r="D39">
        <v>8060</v>
      </c>
      <c r="E39">
        <v>108</v>
      </c>
      <c r="F39" t="s">
        <v>88</v>
      </c>
      <c r="G39">
        <v>60</v>
      </c>
      <c r="H39">
        <v>1680</v>
      </c>
    </row>
    <row r="40" spans="1:8" x14ac:dyDescent="0.2">
      <c r="A40" s="8" t="s">
        <v>31</v>
      </c>
      <c r="B40">
        <v>44032</v>
      </c>
      <c r="C40" s="27">
        <v>43380</v>
      </c>
      <c r="D40">
        <v>8060</v>
      </c>
      <c r="E40">
        <v>109</v>
      </c>
      <c r="F40"/>
      <c r="G40">
        <v>70</v>
      </c>
      <c r="H40">
        <v>1960</v>
      </c>
    </row>
    <row r="41" spans="1:8" x14ac:dyDescent="0.2">
      <c r="A41" s="8" t="s">
        <v>31</v>
      </c>
      <c r="B41">
        <v>44031</v>
      </c>
      <c r="C41" s="27">
        <v>43381</v>
      </c>
      <c r="D41">
        <v>8050</v>
      </c>
      <c r="E41">
        <v>108</v>
      </c>
      <c r="F41" t="s">
        <v>88</v>
      </c>
      <c r="G41">
        <v>60</v>
      </c>
      <c r="H41">
        <v>1680</v>
      </c>
    </row>
    <row r="42" spans="1:8" x14ac:dyDescent="0.2">
      <c r="A42" s="8" t="s">
        <v>31</v>
      </c>
      <c r="B42">
        <v>44031</v>
      </c>
      <c r="C42" s="27">
        <v>43381</v>
      </c>
      <c r="D42">
        <v>8050</v>
      </c>
      <c r="E42">
        <v>109</v>
      </c>
      <c r="F42" t="s">
        <v>88</v>
      </c>
      <c r="G42">
        <v>50</v>
      </c>
      <c r="H42">
        <v>1400</v>
      </c>
    </row>
    <row r="43" spans="1:8" x14ac:dyDescent="0.2">
      <c r="A43" s="8" t="s">
        <v>31</v>
      </c>
      <c r="B43">
        <v>44031</v>
      </c>
      <c r="C43" s="27">
        <v>43381</v>
      </c>
      <c r="D43">
        <v>8050</v>
      </c>
      <c r="E43">
        <v>110</v>
      </c>
      <c r="F43" t="s">
        <v>88</v>
      </c>
      <c r="G43">
        <v>60</v>
      </c>
      <c r="H43">
        <v>3600</v>
      </c>
    </row>
    <row r="44" spans="1:8" x14ac:dyDescent="0.2">
      <c r="A44" s="8" t="s">
        <v>31</v>
      </c>
      <c r="B44">
        <v>48112</v>
      </c>
      <c r="C44" s="27">
        <v>43384</v>
      </c>
      <c r="D44">
        <v>8060</v>
      </c>
      <c r="E44">
        <v>109</v>
      </c>
      <c r="F44"/>
      <c r="G44">
        <v>60</v>
      </c>
      <c r="H44">
        <v>1680</v>
      </c>
    </row>
    <row r="45" spans="1:8" x14ac:dyDescent="0.2">
      <c r="A45" s="8" t="s">
        <v>31</v>
      </c>
      <c r="B45">
        <v>48112</v>
      </c>
      <c r="C45" s="27">
        <v>43384</v>
      </c>
      <c r="D45">
        <v>8060</v>
      </c>
      <c r="E45">
        <v>110</v>
      </c>
      <c r="F45" t="s">
        <v>88</v>
      </c>
      <c r="G45">
        <v>50</v>
      </c>
      <c r="H45">
        <v>3000</v>
      </c>
    </row>
    <row r="46" spans="1:8" x14ac:dyDescent="0.2">
      <c r="A46" s="8" t="s">
        <v>31</v>
      </c>
      <c r="B46">
        <v>48114</v>
      </c>
      <c r="C46" s="27">
        <v>43384</v>
      </c>
      <c r="D46">
        <v>8050</v>
      </c>
      <c r="E46">
        <v>109</v>
      </c>
      <c r="F46"/>
      <c r="G46">
        <v>60</v>
      </c>
      <c r="H46">
        <v>1680</v>
      </c>
    </row>
    <row r="47" spans="1:8" x14ac:dyDescent="0.2">
      <c r="A47" s="8" t="s">
        <v>31</v>
      </c>
      <c r="B47">
        <v>48114</v>
      </c>
      <c r="C47" s="27">
        <v>43384</v>
      </c>
      <c r="D47">
        <v>8050</v>
      </c>
      <c r="E47">
        <v>110</v>
      </c>
      <c r="F47"/>
      <c r="G47">
        <v>60</v>
      </c>
      <c r="H47">
        <v>3600</v>
      </c>
    </row>
    <row r="48" spans="1:8" x14ac:dyDescent="0.2">
      <c r="A48" s="8" t="s">
        <v>31</v>
      </c>
      <c r="B48">
        <v>48114</v>
      </c>
      <c r="C48" s="27">
        <v>43384</v>
      </c>
      <c r="D48">
        <v>8050</v>
      </c>
      <c r="E48">
        <v>111</v>
      </c>
      <c r="F48"/>
      <c r="G48">
        <v>80</v>
      </c>
      <c r="H48">
        <v>1600</v>
      </c>
    </row>
    <row r="49" spans="1:8" x14ac:dyDescent="0.2">
      <c r="A49" s="8" t="s">
        <v>31</v>
      </c>
      <c r="B49">
        <v>48116</v>
      </c>
      <c r="C49" s="27">
        <v>43384</v>
      </c>
      <c r="D49">
        <v>8060</v>
      </c>
      <c r="E49">
        <v>109</v>
      </c>
      <c r="F49"/>
      <c r="G49">
        <v>60</v>
      </c>
      <c r="H49">
        <v>1680</v>
      </c>
    </row>
    <row r="50" spans="1:8" x14ac:dyDescent="0.2">
      <c r="A50" s="8" t="s">
        <v>31</v>
      </c>
      <c r="B50">
        <v>48116</v>
      </c>
      <c r="C50" s="27">
        <v>43384</v>
      </c>
      <c r="D50">
        <v>8060</v>
      </c>
      <c r="E50">
        <v>110</v>
      </c>
      <c r="F50"/>
      <c r="G50">
        <v>60</v>
      </c>
      <c r="H50">
        <v>3600</v>
      </c>
    </row>
    <row r="51" spans="1:8" x14ac:dyDescent="0.2">
      <c r="A51" s="8" t="s">
        <v>31</v>
      </c>
      <c r="B51">
        <v>45442</v>
      </c>
      <c r="C51" s="27">
        <v>43388</v>
      </c>
      <c r="D51">
        <v>8050</v>
      </c>
      <c r="E51">
        <v>108</v>
      </c>
      <c r="F51"/>
      <c r="G51">
        <v>50</v>
      </c>
      <c r="H51">
        <v>1400</v>
      </c>
    </row>
    <row r="52" spans="1:8" x14ac:dyDescent="0.2">
      <c r="A52" s="8" t="s">
        <v>31</v>
      </c>
      <c r="B52">
        <v>45442</v>
      </c>
      <c r="C52" s="27">
        <v>43388</v>
      </c>
      <c r="D52">
        <v>8050</v>
      </c>
      <c r="E52">
        <v>109</v>
      </c>
      <c r="F52">
        <v>1</v>
      </c>
      <c r="G52">
        <v>60</v>
      </c>
      <c r="H52">
        <v>1680</v>
      </c>
    </row>
    <row r="53" spans="1:8" x14ac:dyDescent="0.2">
      <c r="A53" s="8" t="s">
        <v>31</v>
      </c>
      <c r="B53">
        <v>45444</v>
      </c>
      <c r="C53" s="27">
        <v>43388</v>
      </c>
      <c r="D53">
        <v>8060</v>
      </c>
      <c r="E53">
        <v>108</v>
      </c>
      <c r="F53"/>
      <c r="G53">
        <v>60</v>
      </c>
      <c r="H53">
        <v>1680</v>
      </c>
    </row>
    <row r="54" spans="1:8" x14ac:dyDescent="0.2">
      <c r="A54" s="8" t="s">
        <v>31</v>
      </c>
      <c r="B54">
        <v>45444</v>
      </c>
      <c r="C54" s="27">
        <v>43388</v>
      </c>
      <c r="D54">
        <v>8060</v>
      </c>
      <c r="E54">
        <v>109</v>
      </c>
      <c r="F54"/>
      <c r="G54">
        <v>70</v>
      </c>
      <c r="H54">
        <v>1960</v>
      </c>
    </row>
    <row r="55" spans="1:8" x14ac:dyDescent="0.2">
      <c r="A55" s="8" t="s">
        <v>31</v>
      </c>
      <c r="B55">
        <v>45444</v>
      </c>
      <c r="C55" s="27">
        <v>43388</v>
      </c>
      <c r="D55">
        <v>8060</v>
      </c>
      <c r="E55">
        <v>110</v>
      </c>
      <c r="F55"/>
      <c r="G55">
        <v>60</v>
      </c>
      <c r="H55">
        <v>3600</v>
      </c>
    </row>
    <row r="56" spans="1:8" x14ac:dyDescent="0.2">
      <c r="A56" s="8" t="s">
        <v>31</v>
      </c>
      <c r="B56">
        <v>45446</v>
      </c>
      <c r="C56" s="27">
        <v>43388</v>
      </c>
      <c r="D56">
        <v>8050</v>
      </c>
      <c r="E56">
        <v>111</v>
      </c>
      <c r="F56"/>
      <c r="G56">
        <v>80</v>
      </c>
      <c r="H56">
        <v>1600</v>
      </c>
    </row>
    <row r="57" spans="1:8" x14ac:dyDescent="0.2">
      <c r="A57" s="8" t="s">
        <v>31</v>
      </c>
      <c r="B57">
        <v>45446</v>
      </c>
      <c r="C57" s="27">
        <v>43388</v>
      </c>
      <c r="D57">
        <v>8050</v>
      </c>
      <c r="E57">
        <v>108</v>
      </c>
      <c r="F57"/>
      <c r="G57">
        <v>50</v>
      </c>
      <c r="H57">
        <v>1400</v>
      </c>
    </row>
    <row r="58" spans="1:8" x14ac:dyDescent="0.2">
      <c r="A58" s="8" t="s">
        <v>31</v>
      </c>
      <c r="B58">
        <v>44015</v>
      </c>
      <c r="C58" s="27">
        <v>43383</v>
      </c>
      <c r="D58">
        <v>8060</v>
      </c>
      <c r="E58">
        <v>108</v>
      </c>
      <c r="F58"/>
      <c r="G58">
        <v>60</v>
      </c>
      <c r="H58">
        <v>1680</v>
      </c>
    </row>
    <row r="59" spans="1:8" x14ac:dyDescent="0.2">
      <c r="A59" s="8" t="s">
        <v>31</v>
      </c>
      <c r="B59">
        <v>44015</v>
      </c>
      <c r="C59" s="27">
        <v>43383</v>
      </c>
      <c r="D59">
        <v>8060</v>
      </c>
      <c r="E59">
        <v>109</v>
      </c>
      <c r="F59"/>
      <c r="G59">
        <v>70</v>
      </c>
      <c r="H59">
        <v>1960</v>
      </c>
    </row>
    <row r="60" spans="1:8" x14ac:dyDescent="0.2">
      <c r="A60" s="8" t="s">
        <v>31</v>
      </c>
      <c r="B60">
        <v>44017</v>
      </c>
      <c r="C60" s="27">
        <v>43386</v>
      </c>
      <c r="D60">
        <v>8060</v>
      </c>
      <c r="E60">
        <v>108</v>
      </c>
      <c r="F60"/>
      <c r="G60">
        <v>70</v>
      </c>
      <c r="H60">
        <v>1960</v>
      </c>
    </row>
    <row r="61" spans="1:8" x14ac:dyDescent="0.2">
      <c r="A61" s="8" t="s">
        <v>31</v>
      </c>
      <c r="B61">
        <v>44017</v>
      </c>
      <c r="C61" s="27">
        <v>43386</v>
      </c>
      <c r="D61">
        <v>8060</v>
      </c>
      <c r="E61">
        <v>109</v>
      </c>
      <c r="F61"/>
      <c r="G61">
        <v>70</v>
      </c>
      <c r="H61">
        <v>1960</v>
      </c>
    </row>
    <row r="62" spans="1:8" x14ac:dyDescent="0.2">
      <c r="A62" s="8" t="s">
        <v>31</v>
      </c>
      <c r="B62">
        <v>44016</v>
      </c>
      <c r="C62" s="27">
        <v>43387</v>
      </c>
      <c r="D62">
        <v>8050</v>
      </c>
      <c r="E62">
        <v>108</v>
      </c>
      <c r="F62"/>
      <c r="G62">
        <v>70</v>
      </c>
      <c r="H62">
        <v>1960</v>
      </c>
    </row>
    <row r="63" spans="1:8" x14ac:dyDescent="0.2">
      <c r="A63" s="8" t="s">
        <v>31</v>
      </c>
      <c r="B63">
        <v>44016</v>
      </c>
      <c r="C63" s="27">
        <v>43387</v>
      </c>
      <c r="D63">
        <v>8050</v>
      </c>
      <c r="E63">
        <v>109</v>
      </c>
      <c r="F63">
        <v>1</v>
      </c>
      <c r="G63">
        <v>60</v>
      </c>
      <c r="H63">
        <v>1680</v>
      </c>
    </row>
    <row r="64" spans="1:8" x14ac:dyDescent="0.2">
      <c r="A64" s="8" t="s">
        <v>31</v>
      </c>
      <c r="B64">
        <v>44016</v>
      </c>
      <c r="C64" s="27">
        <v>43387</v>
      </c>
      <c r="D64">
        <v>8050</v>
      </c>
      <c r="E64">
        <v>110</v>
      </c>
      <c r="F64"/>
      <c r="G64">
        <v>50</v>
      </c>
      <c r="H64">
        <v>3000</v>
      </c>
    </row>
    <row r="65" spans="1:8" x14ac:dyDescent="0.2">
      <c r="A65" s="8" t="s">
        <v>31</v>
      </c>
      <c r="B65">
        <v>48097</v>
      </c>
      <c r="C65" s="27">
        <v>43390</v>
      </c>
      <c r="D65">
        <v>8060</v>
      </c>
      <c r="E65">
        <v>109</v>
      </c>
      <c r="F65"/>
      <c r="G65">
        <v>60</v>
      </c>
      <c r="H65">
        <v>1680</v>
      </c>
    </row>
    <row r="66" spans="1:8" x14ac:dyDescent="0.2">
      <c r="A66" s="8" t="s">
        <v>31</v>
      </c>
      <c r="B66">
        <v>48097</v>
      </c>
      <c r="C66" s="27">
        <v>43390</v>
      </c>
      <c r="D66">
        <v>8060</v>
      </c>
      <c r="E66">
        <v>110</v>
      </c>
      <c r="F66"/>
      <c r="G66">
        <v>70</v>
      </c>
      <c r="H66">
        <v>4200</v>
      </c>
    </row>
    <row r="67" spans="1:8" x14ac:dyDescent="0.2">
      <c r="A67" s="8" t="s">
        <v>31</v>
      </c>
      <c r="B67">
        <v>48099</v>
      </c>
      <c r="C67" s="27">
        <v>43390</v>
      </c>
      <c r="D67">
        <v>8050</v>
      </c>
      <c r="E67">
        <v>109</v>
      </c>
      <c r="F67">
        <v>1</v>
      </c>
      <c r="G67">
        <v>60</v>
      </c>
      <c r="H67">
        <v>1680</v>
      </c>
    </row>
    <row r="68" spans="1:8" x14ac:dyDescent="0.2">
      <c r="A68" s="8" t="s">
        <v>31</v>
      </c>
      <c r="B68">
        <v>48099</v>
      </c>
      <c r="C68" s="27">
        <v>43390</v>
      </c>
      <c r="D68">
        <v>8050</v>
      </c>
      <c r="E68">
        <v>110</v>
      </c>
      <c r="F68"/>
      <c r="G68">
        <v>60</v>
      </c>
      <c r="H68">
        <v>3600</v>
      </c>
    </row>
    <row r="69" spans="1:8" x14ac:dyDescent="0.2">
      <c r="A69" s="8" t="s">
        <v>31</v>
      </c>
      <c r="B69">
        <v>48099</v>
      </c>
      <c r="C69" s="27">
        <v>43390</v>
      </c>
      <c r="D69">
        <v>8050</v>
      </c>
      <c r="E69">
        <v>111</v>
      </c>
      <c r="F69"/>
      <c r="G69">
        <v>60</v>
      </c>
      <c r="H69">
        <v>1200</v>
      </c>
    </row>
    <row r="70" spans="1:8" x14ac:dyDescent="0.2">
      <c r="A70" s="8" t="s">
        <v>31</v>
      </c>
      <c r="B70">
        <v>48101</v>
      </c>
      <c r="C70" s="27">
        <v>43390</v>
      </c>
      <c r="D70">
        <v>8060</v>
      </c>
      <c r="E70">
        <v>109</v>
      </c>
      <c r="F70"/>
      <c r="G70">
        <v>60</v>
      </c>
      <c r="H70">
        <v>1680</v>
      </c>
    </row>
    <row r="71" spans="1:8" x14ac:dyDescent="0.2">
      <c r="A71" s="8" t="s">
        <v>31</v>
      </c>
      <c r="B71">
        <v>48101</v>
      </c>
      <c r="C71" s="27">
        <v>43390</v>
      </c>
      <c r="D71">
        <v>8060</v>
      </c>
      <c r="E71">
        <v>110</v>
      </c>
      <c r="F71"/>
      <c r="G71">
        <v>50</v>
      </c>
      <c r="H71">
        <v>3000</v>
      </c>
    </row>
    <row r="72" spans="1:8" x14ac:dyDescent="0.2">
      <c r="A72" s="8" t="s">
        <v>31</v>
      </c>
      <c r="B72">
        <v>45427</v>
      </c>
      <c r="C72" s="27">
        <v>43394</v>
      </c>
      <c r="D72">
        <v>8050</v>
      </c>
      <c r="E72">
        <v>108</v>
      </c>
      <c r="F72"/>
      <c r="G72">
        <v>70</v>
      </c>
      <c r="H72">
        <v>1960</v>
      </c>
    </row>
    <row r="73" spans="1:8" x14ac:dyDescent="0.2">
      <c r="A73" s="8" t="s">
        <v>31</v>
      </c>
      <c r="B73">
        <v>45427</v>
      </c>
      <c r="C73" s="27">
        <v>43394</v>
      </c>
      <c r="D73">
        <v>8050</v>
      </c>
      <c r="E73">
        <v>109</v>
      </c>
      <c r="F73"/>
      <c r="G73">
        <v>60</v>
      </c>
      <c r="H73">
        <v>1680</v>
      </c>
    </row>
    <row r="74" spans="1:8" x14ac:dyDescent="0.2">
      <c r="A74" s="8" t="s">
        <v>31</v>
      </c>
      <c r="B74">
        <v>45429</v>
      </c>
      <c r="C74" s="27">
        <v>43394</v>
      </c>
      <c r="D74">
        <v>8060</v>
      </c>
      <c r="E74">
        <v>108</v>
      </c>
      <c r="F74"/>
      <c r="G74">
        <v>80</v>
      </c>
      <c r="H74">
        <v>2240</v>
      </c>
    </row>
    <row r="75" spans="1:8" x14ac:dyDescent="0.2">
      <c r="A75" s="8" t="s">
        <v>31</v>
      </c>
      <c r="B75">
        <v>45429</v>
      </c>
      <c r="C75" s="27">
        <v>43394</v>
      </c>
      <c r="D75">
        <v>8060</v>
      </c>
      <c r="E75">
        <v>109</v>
      </c>
      <c r="F75">
        <v>2</v>
      </c>
      <c r="G75">
        <v>80</v>
      </c>
      <c r="H75">
        <v>2240</v>
      </c>
    </row>
    <row r="76" spans="1:8" x14ac:dyDescent="0.2">
      <c r="A76" s="8" t="s">
        <v>31</v>
      </c>
      <c r="B76">
        <v>45429</v>
      </c>
      <c r="C76" s="27">
        <v>43394</v>
      </c>
      <c r="D76">
        <v>8060</v>
      </c>
      <c r="E76">
        <v>110</v>
      </c>
      <c r="F76"/>
      <c r="G76">
        <v>50</v>
      </c>
      <c r="H76">
        <v>3000</v>
      </c>
    </row>
    <row r="77" spans="1:8" x14ac:dyDescent="0.2">
      <c r="A77" s="8" t="s">
        <v>31</v>
      </c>
      <c r="B77">
        <v>45431</v>
      </c>
      <c r="C77" s="27">
        <v>43394</v>
      </c>
      <c r="D77">
        <v>8050</v>
      </c>
      <c r="E77">
        <v>111</v>
      </c>
      <c r="F77"/>
      <c r="G77">
        <v>60</v>
      </c>
      <c r="H77">
        <v>1200</v>
      </c>
    </row>
    <row r="78" spans="1:8" x14ac:dyDescent="0.2">
      <c r="A78" s="8" t="s">
        <v>31</v>
      </c>
      <c r="B78">
        <v>45431</v>
      </c>
      <c r="C78" s="27">
        <v>43394</v>
      </c>
      <c r="D78">
        <v>8050</v>
      </c>
      <c r="E78">
        <v>108</v>
      </c>
      <c r="F78"/>
      <c r="G78">
        <v>60</v>
      </c>
      <c r="H78">
        <v>1680</v>
      </c>
    </row>
    <row r="79" spans="1:8" x14ac:dyDescent="0.2">
      <c r="A79" s="8" t="s">
        <v>29</v>
      </c>
      <c r="B79">
        <v>24030</v>
      </c>
      <c r="C79" s="27">
        <v>43375</v>
      </c>
      <c r="D79">
        <v>8020</v>
      </c>
      <c r="E79">
        <v>101</v>
      </c>
      <c r="F79">
        <v>1</v>
      </c>
      <c r="G79">
        <v>130</v>
      </c>
      <c r="H79">
        <v>1560</v>
      </c>
    </row>
    <row r="80" spans="1:8" x14ac:dyDescent="0.2">
      <c r="A80" s="8" t="s">
        <v>29</v>
      </c>
      <c r="B80">
        <v>24030</v>
      </c>
      <c r="C80" s="27">
        <v>43375</v>
      </c>
      <c r="D80">
        <v>8020</v>
      </c>
      <c r="E80">
        <v>102</v>
      </c>
      <c r="F80"/>
      <c r="G80">
        <v>30</v>
      </c>
      <c r="H80">
        <v>360</v>
      </c>
    </row>
    <row r="81" spans="1:8" x14ac:dyDescent="0.2">
      <c r="A81" s="8" t="s">
        <v>29</v>
      </c>
      <c r="B81">
        <v>24030</v>
      </c>
      <c r="C81" s="27">
        <v>43375</v>
      </c>
      <c r="D81">
        <v>8020</v>
      </c>
      <c r="E81">
        <v>106</v>
      </c>
      <c r="F81" t="s">
        <v>88</v>
      </c>
      <c r="G81">
        <v>60</v>
      </c>
      <c r="H81">
        <v>300</v>
      </c>
    </row>
    <row r="82" spans="1:8" x14ac:dyDescent="0.2">
      <c r="A82" s="8" t="s">
        <v>29</v>
      </c>
      <c r="B82">
        <v>24030</v>
      </c>
      <c r="C82" s="27">
        <v>43375</v>
      </c>
      <c r="D82">
        <v>8020</v>
      </c>
      <c r="E82">
        <v>108</v>
      </c>
      <c r="F82"/>
      <c r="G82">
        <v>80</v>
      </c>
      <c r="H82">
        <v>2240</v>
      </c>
    </row>
    <row r="83" spans="1:8" x14ac:dyDescent="0.2">
      <c r="A83" s="8" t="s">
        <v>29</v>
      </c>
      <c r="B83">
        <v>24031</v>
      </c>
      <c r="C83" s="27">
        <v>43381</v>
      </c>
      <c r="D83">
        <v>8020</v>
      </c>
      <c r="E83">
        <v>101</v>
      </c>
      <c r="F83" t="s">
        <v>88</v>
      </c>
      <c r="G83">
        <v>100</v>
      </c>
      <c r="H83">
        <v>1200</v>
      </c>
    </row>
    <row r="84" spans="1:8" x14ac:dyDescent="0.2">
      <c r="A84" s="8" t="s">
        <v>29</v>
      </c>
      <c r="B84">
        <v>24031</v>
      </c>
      <c r="C84" s="27">
        <v>43381</v>
      </c>
      <c r="D84">
        <v>8020</v>
      </c>
      <c r="E84">
        <v>108</v>
      </c>
      <c r="F84" t="s">
        <v>88</v>
      </c>
      <c r="G84">
        <v>20</v>
      </c>
      <c r="H84">
        <v>560</v>
      </c>
    </row>
    <row r="85" spans="1:8" x14ac:dyDescent="0.2">
      <c r="A85" s="8" t="s">
        <v>29</v>
      </c>
      <c r="B85">
        <v>24031</v>
      </c>
      <c r="C85" s="27">
        <v>43381</v>
      </c>
      <c r="D85">
        <v>8020</v>
      </c>
      <c r="E85">
        <v>113</v>
      </c>
      <c r="F85" t="s">
        <v>88</v>
      </c>
      <c r="G85">
        <v>100</v>
      </c>
      <c r="H85">
        <v>2500</v>
      </c>
    </row>
    <row r="86" spans="1:8" x14ac:dyDescent="0.2">
      <c r="A86" s="8" t="s">
        <v>29</v>
      </c>
      <c r="B86">
        <v>28112</v>
      </c>
      <c r="C86" s="27">
        <v>43385</v>
      </c>
      <c r="D86">
        <v>8020</v>
      </c>
      <c r="E86">
        <v>114</v>
      </c>
      <c r="F86">
        <v>1</v>
      </c>
      <c r="G86">
        <v>50</v>
      </c>
      <c r="H86">
        <v>1250</v>
      </c>
    </row>
    <row r="87" spans="1:8" x14ac:dyDescent="0.2">
      <c r="A87" s="8" t="s">
        <v>29</v>
      </c>
      <c r="B87">
        <v>28112</v>
      </c>
      <c r="C87" s="27">
        <v>43385</v>
      </c>
      <c r="D87">
        <v>8020</v>
      </c>
      <c r="E87">
        <v>101</v>
      </c>
      <c r="F87" t="s">
        <v>88</v>
      </c>
      <c r="G87">
        <v>40</v>
      </c>
      <c r="H87">
        <v>480</v>
      </c>
    </row>
    <row r="88" spans="1:8" x14ac:dyDescent="0.2">
      <c r="A88" s="8" t="s">
        <v>29</v>
      </c>
      <c r="B88">
        <v>28112</v>
      </c>
      <c r="C88" s="27">
        <v>43385</v>
      </c>
      <c r="D88">
        <v>8020</v>
      </c>
      <c r="E88">
        <v>102</v>
      </c>
      <c r="F88"/>
      <c r="G88">
        <v>70</v>
      </c>
      <c r="H88">
        <v>840</v>
      </c>
    </row>
    <row r="89" spans="1:8" x14ac:dyDescent="0.2">
      <c r="A89" s="8" t="s">
        <v>29</v>
      </c>
      <c r="B89">
        <v>28112</v>
      </c>
      <c r="C89" s="27">
        <v>43385</v>
      </c>
      <c r="D89">
        <v>8020</v>
      </c>
      <c r="E89">
        <v>106</v>
      </c>
      <c r="F89"/>
      <c r="G89">
        <v>70</v>
      </c>
      <c r="H89">
        <v>350</v>
      </c>
    </row>
    <row r="90" spans="1:8" x14ac:dyDescent="0.2">
      <c r="A90" s="8" t="s">
        <v>29</v>
      </c>
      <c r="B90">
        <v>28112</v>
      </c>
      <c r="C90" s="27">
        <v>43385</v>
      </c>
      <c r="D90">
        <v>8020</v>
      </c>
      <c r="E90">
        <v>108</v>
      </c>
      <c r="F90"/>
      <c r="G90">
        <v>10</v>
      </c>
      <c r="H90">
        <v>280</v>
      </c>
    </row>
    <row r="91" spans="1:8" x14ac:dyDescent="0.2">
      <c r="A91" s="8" t="s">
        <v>29</v>
      </c>
      <c r="B91">
        <v>28112</v>
      </c>
      <c r="C91" s="27">
        <v>43385</v>
      </c>
      <c r="D91">
        <v>8020</v>
      </c>
      <c r="E91">
        <v>117</v>
      </c>
      <c r="F91"/>
      <c r="G91">
        <v>80</v>
      </c>
      <c r="H91">
        <v>1440</v>
      </c>
    </row>
    <row r="92" spans="1:8" x14ac:dyDescent="0.2">
      <c r="A92" s="8" t="s">
        <v>29</v>
      </c>
      <c r="B92">
        <v>28112</v>
      </c>
      <c r="C92" s="27">
        <v>43385</v>
      </c>
      <c r="D92">
        <v>8020</v>
      </c>
      <c r="E92">
        <v>118</v>
      </c>
      <c r="F92"/>
      <c r="G92">
        <v>70</v>
      </c>
      <c r="H92">
        <v>1260</v>
      </c>
    </row>
    <row r="93" spans="1:8" x14ac:dyDescent="0.2">
      <c r="A93" s="8" t="s">
        <v>29</v>
      </c>
      <c r="B93">
        <v>25442</v>
      </c>
      <c r="C93" s="27">
        <v>43389</v>
      </c>
      <c r="D93">
        <v>8010</v>
      </c>
      <c r="E93">
        <v>118</v>
      </c>
      <c r="F93"/>
      <c r="G93">
        <v>70</v>
      </c>
      <c r="H93">
        <v>1260</v>
      </c>
    </row>
    <row r="94" spans="1:8" x14ac:dyDescent="0.2">
      <c r="A94" s="8" t="s">
        <v>29</v>
      </c>
      <c r="B94">
        <v>25442</v>
      </c>
      <c r="C94" s="27">
        <v>43389</v>
      </c>
      <c r="D94">
        <v>8010</v>
      </c>
      <c r="E94">
        <v>117</v>
      </c>
      <c r="F94">
        <v>6</v>
      </c>
      <c r="G94">
        <v>80</v>
      </c>
      <c r="H94">
        <v>1440</v>
      </c>
    </row>
    <row r="95" spans="1:8" x14ac:dyDescent="0.2">
      <c r="A95" s="8" t="s">
        <v>29</v>
      </c>
      <c r="B95">
        <v>25442</v>
      </c>
      <c r="C95" s="27">
        <v>43389</v>
      </c>
      <c r="D95">
        <v>8010</v>
      </c>
      <c r="E95">
        <v>118</v>
      </c>
      <c r="F95"/>
      <c r="G95">
        <v>70</v>
      </c>
      <c r="H95">
        <v>1260</v>
      </c>
    </row>
    <row r="96" spans="1:8" x14ac:dyDescent="0.2">
      <c r="A96" s="8" t="s">
        <v>29</v>
      </c>
      <c r="B96">
        <v>25442</v>
      </c>
      <c r="C96" s="27">
        <v>43389</v>
      </c>
      <c r="D96">
        <v>8010</v>
      </c>
      <c r="E96">
        <v>116</v>
      </c>
      <c r="F96">
        <v>1</v>
      </c>
      <c r="G96">
        <v>60</v>
      </c>
      <c r="H96">
        <v>360</v>
      </c>
    </row>
    <row r="97" spans="1:8" x14ac:dyDescent="0.2">
      <c r="A97" s="8" t="s">
        <v>29</v>
      </c>
      <c r="B97">
        <v>25442</v>
      </c>
      <c r="C97" s="27">
        <v>43389</v>
      </c>
      <c r="D97">
        <v>8010</v>
      </c>
      <c r="E97">
        <v>106</v>
      </c>
      <c r="F97"/>
      <c r="G97">
        <v>20</v>
      </c>
      <c r="H97">
        <v>100</v>
      </c>
    </row>
    <row r="98" spans="1:8" x14ac:dyDescent="0.2">
      <c r="A98" s="8" t="s">
        <v>29</v>
      </c>
      <c r="B98">
        <v>25442</v>
      </c>
      <c r="C98" s="27">
        <v>43389</v>
      </c>
      <c r="D98">
        <v>8010</v>
      </c>
      <c r="E98">
        <v>101</v>
      </c>
      <c r="F98"/>
      <c r="G98">
        <v>40</v>
      </c>
      <c r="H98">
        <v>480</v>
      </c>
    </row>
    <row r="99" spans="1:8" x14ac:dyDescent="0.2">
      <c r="A99" s="8" t="s">
        <v>29</v>
      </c>
      <c r="B99">
        <v>25442</v>
      </c>
      <c r="C99" s="27">
        <v>43389</v>
      </c>
      <c r="D99">
        <v>8010</v>
      </c>
      <c r="E99">
        <v>102</v>
      </c>
      <c r="F99"/>
      <c r="G99">
        <v>10</v>
      </c>
      <c r="H99">
        <v>120</v>
      </c>
    </row>
    <row r="100" spans="1:8" x14ac:dyDescent="0.2">
      <c r="A100" s="8" t="s">
        <v>30</v>
      </c>
      <c r="B100">
        <v>84030</v>
      </c>
      <c r="C100" s="27">
        <v>43380</v>
      </c>
      <c r="D100">
        <v>8050</v>
      </c>
      <c r="E100">
        <v>120</v>
      </c>
      <c r="F100" t="s">
        <v>88</v>
      </c>
      <c r="G100">
        <v>120</v>
      </c>
      <c r="H100">
        <v>6960</v>
      </c>
    </row>
    <row r="101" spans="1:8" x14ac:dyDescent="0.2">
      <c r="A101" s="8" t="s">
        <v>30</v>
      </c>
      <c r="B101">
        <v>84030</v>
      </c>
      <c r="C101" s="27">
        <v>43380</v>
      </c>
      <c r="D101">
        <v>8050</v>
      </c>
      <c r="E101">
        <v>104</v>
      </c>
      <c r="F101">
        <v>1</v>
      </c>
      <c r="G101">
        <v>430</v>
      </c>
      <c r="H101">
        <v>5160</v>
      </c>
    </row>
    <row r="102" spans="1:8" x14ac:dyDescent="0.2">
      <c r="A102" s="8" t="s">
        <v>30</v>
      </c>
      <c r="B102">
        <v>84030</v>
      </c>
      <c r="C102" s="27">
        <v>43380</v>
      </c>
      <c r="D102">
        <v>8050</v>
      </c>
      <c r="E102">
        <v>105</v>
      </c>
      <c r="F102" t="s">
        <v>88</v>
      </c>
      <c r="G102">
        <v>120</v>
      </c>
      <c r="H102">
        <v>1200</v>
      </c>
    </row>
    <row r="103" spans="1:8" x14ac:dyDescent="0.2">
      <c r="A103" s="8" t="s">
        <v>30</v>
      </c>
      <c r="B103">
        <v>84030</v>
      </c>
      <c r="C103" s="27">
        <v>43380</v>
      </c>
      <c r="D103">
        <v>8050</v>
      </c>
      <c r="E103">
        <v>107</v>
      </c>
      <c r="F103">
        <v>1</v>
      </c>
      <c r="G103">
        <v>690</v>
      </c>
      <c r="H103">
        <v>3450</v>
      </c>
    </row>
    <row r="104" spans="1:8" x14ac:dyDescent="0.2">
      <c r="A104" s="8" t="s">
        <v>30</v>
      </c>
      <c r="B104">
        <v>84031</v>
      </c>
      <c r="C104" s="27">
        <v>43381</v>
      </c>
      <c r="D104">
        <v>8040</v>
      </c>
      <c r="E104">
        <v>104</v>
      </c>
      <c r="F104" t="s">
        <v>88</v>
      </c>
      <c r="G104">
        <v>870</v>
      </c>
      <c r="H104">
        <v>10440</v>
      </c>
    </row>
    <row r="105" spans="1:8" x14ac:dyDescent="0.2">
      <c r="A105" s="8" t="s">
        <v>30</v>
      </c>
      <c r="B105">
        <v>84031</v>
      </c>
      <c r="C105" s="27">
        <v>43381</v>
      </c>
      <c r="D105">
        <v>8040</v>
      </c>
      <c r="E105">
        <v>107</v>
      </c>
      <c r="F105" t="s">
        <v>88</v>
      </c>
      <c r="G105">
        <v>760</v>
      </c>
      <c r="H105">
        <v>3800</v>
      </c>
    </row>
    <row r="106" spans="1:8" x14ac:dyDescent="0.2">
      <c r="A106" s="8" t="s">
        <v>30</v>
      </c>
      <c r="B106">
        <v>84031</v>
      </c>
      <c r="C106" s="27">
        <v>43381</v>
      </c>
      <c r="D106">
        <v>8040</v>
      </c>
      <c r="E106">
        <v>110</v>
      </c>
      <c r="F106">
        <v>2</v>
      </c>
      <c r="G106">
        <v>500</v>
      </c>
      <c r="H106">
        <v>30000</v>
      </c>
    </row>
    <row r="107" spans="1:8" x14ac:dyDescent="0.2">
      <c r="A107" s="8" t="s">
        <v>30</v>
      </c>
      <c r="B107">
        <v>88112</v>
      </c>
      <c r="C107" s="27">
        <v>43384</v>
      </c>
      <c r="D107">
        <v>8040</v>
      </c>
      <c r="E107">
        <v>110</v>
      </c>
      <c r="F107"/>
      <c r="G107">
        <v>480</v>
      </c>
      <c r="H107">
        <v>28800</v>
      </c>
    </row>
    <row r="108" spans="1:8" x14ac:dyDescent="0.2">
      <c r="A108" s="8" t="s">
        <v>30</v>
      </c>
      <c r="B108">
        <v>88112</v>
      </c>
      <c r="C108" s="27">
        <v>43384</v>
      </c>
      <c r="D108">
        <v>8040</v>
      </c>
      <c r="E108">
        <v>119</v>
      </c>
      <c r="F108" t="s">
        <v>88</v>
      </c>
      <c r="G108">
        <v>630</v>
      </c>
      <c r="H108">
        <v>39060</v>
      </c>
    </row>
    <row r="109" spans="1:8" x14ac:dyDescent="0.2">
      <c r="A109" s="8" t="s">
        <v>30</v>
      </c>
      <c r="B109">
        <v>88112</v>
      </c>
      <c r="C109" s="27">
        <v>43384</v>
      </c>
      <c r="D109">
        <v>8040</v>
      </c>
      <c r="E109">
        <v>120</v>
      </c>
      <c r="F109"/>
      <c r="G109">
        <v>150</v>
      </c>
      <c r="H109">
        <v>8700</v>
      </c>
    </row>
    <row r="110" spans="1:8" x14ac:dyDescent="0.2">
      <c r="A110" s="8" t="s">
        <v>30</v>
      </c>
      <c r="B110">
        <v>88112</v>
      </c>
      <c r="C110" s="27">
        <v>43384</v>
      </c>
      <c r="D110">
        <v>8040</v>
      </c>
      <c r="E110">
        <v>116</v>
      </c>
      <c r="F110">
        <v>4</v>
      </c>
      <c r="G110">
        <v>760</v>
      </c>
      <c r="H110">
        <v>4560</v>
      </c>
    </row>
    <row r="111" spans="1:8" x14ac:dyDescent="0.2">
      <c r="A111" s="8" t="s">
        <v>30</v>
      </c>
      <c r="B111">
        <v>88112</v>
      </c>
      <c r="C111" s="27">
        <v>43384</v>
      </c>
      <c r="D111">
        <v>8040</v>
      </c>
      <c r="E111">
        <v>111</v>
      </c>
      <c r="F111"/>
      <c r="G111">
        <v>590</v>
      </c>
      <c r="H111">
        <v>11800</v>
      </c>
    </row>
    <row r="112" spans="1:8" x14ac:dyDescent="0.2">
      <c r="A112" s="8" t="s">
        <v>30</v>
      </c>
      <c r="B112">
        <v>88112</v>
      </c>
      <c r="C112" s="27">
        <v>43384</v>
      </c>
      <c r="D112">
        <v>8040</v>
      </c>
      <c r="E112">
        <v>110</v>
      </c>
      <c r="F112"/>
      <c r="G112">
        <v>530</v>
      </c>
      <c r="H112">
        <v>31800</v>
      </c>
    </row>
    <row r="113" spans="1:8" x14ac:dyDescent="0.2">
      <c r="A113" s="8" t="s">
        <v>30</v>
      </c>
      <c r="B113">
        <v>88112</v>
      </c>
      <c r="C113" s="27">
        <v>43384</v>
      </c>
      <c r="D113">
        <v>8040</v>
      </c>
      <c r="E113">
        <v>109</v>
      </c>
      <c r="F113"/>
      <c r="G113">
        <v>260</v>
      </c>
      <c r="H113">
        <v>7280</v>
      </c>
    </row>
    <row r="114" spans="1:8" x14ac:dyDescent="0.2">
      <c r="A114" s="8" t="s">
        <v>30</v>
      </c>
      <c r="B114">
        <v>85442</v>
      </c>
      <c r="C114" s="27">
        <v>43388</v>
      </c>
      <c r="D114">
        <v>8050</v>
      </c>
      <c r="E114">
        <v>107</v>
      </c>
      <c r="F114"/>
      <c r="G114">
        <v>270</v>
      </c>
      <c r="H114">
        <v>1350</v>
      </c>
    </row>
    <row r="115" spans="1:8" x14ac:dyDescent="0.2">
      <c r="A115" s="8" t="s">
        <v>30</v>
      </c>
      <c r="B115">
        <v>85442</v>
      </c>
      <c r="C115" s="27">
        <v>43388</v>
      </c>
      <c r="D115">
        <v>8050</v>
      </c>
      <c r="E115">
        <v>103</v>
      </c>
      <c r="F115"/>
      <c r="G115">
        <v>630</v>
      </c>
      <c r="H115">
        <v>7560</v>
      </c>
    </row>
    <row r="116" spans="1:8" x14ac:dyDescent="0.2">
      <c r="A116" s="8" t="s">
        <v>30</v>
      </c>
      <c r="B116">
        <v>85442</v>
      </c>
      <c r="C116" s="27">
        <v>43388</v>
      </c>
      <c r="D116">
        <v>8050</v>
      </c>
      <c r="E116">
        <v>104</v>
      </c>
      <c r="F116"/>
      <c r="G116">
        <v>440</v>
      </c>
      <c r="H116">
        <v>5280</v>
      </c>
    </row>
    <row r="117" spans="1:8" x14ac:dyDescent="0.2">
      <c r="A117" s="8" t="s">
        <v>30</v>
      </c>
      <c r="B117">
        <v>85442</v>
      </c>
      <c r="C117" s="27">
        <v>43388</v>
      </c>
      <c r="D117">
        <v>8050</v>
      </c>
      <c r="E117">
        <v>120</v>
      </c>
      <c r="F117"/>
      <c r="G117">
        <v>500</v>
      </c>
      <c r="H117">
        <v>29000</v>
      </c>
    </row>
    <row r="118" spans="1:8" x14ac:dyDescent="0.2">
      <c r="A118" s="8" t="s">
        <v>30</v>
      </c>
      <c r="B118">
        <v>85442</v>
      </c>
      <c r="C118" s="27">
        <v>43388</v>
      </c>
      <c r="D118">
        <v>8050</v>
      </c>
      <c r="E118">
        <v>119</v>
      </c>
      <c r="F118">
        <v>1</v>
      </c>
      <c r="G118">
        <v>360</v>
      </c>
      <c r="H118">
        <v>22320</v>
      </c>
    </row>
    <row r="119" spans="1:8" x14ac:dyDescent="0.2">
      <c r="A119" s="8" t="s">
        <v>30</v>
      </c>
      <c r="B119">
        <v>85442</v>
      </c>
      <c r="C119" s="27">
        <v>43388</v>
      </c>
      <c r="D119">
        <v>8050</v>
      </c>
      <c r="E119">
        <v>115</v>
      </c>
      <c r="F119"/>
      <c r="G119">
        <v>810</v>
      </c>
      <c r="H119">
        <v>4860</v>
      </c>
    </row>
    <row r="120" spans="1:8" x14ac:dyDescent="0.2">
      <c r="A120" s="8" t="s">
        <v>30</v>
      </c>
      <c r="B120">
        <v>85442</v>
      </c>
      <c r="C120" s="27">
        <v>43388</v>
      </c>
      <c r="D120">
        <v>8050</v>
      </c>
      <c r="E120">
        <v>108</v>
      </c>
      <c r="F120"/>
      <c r="G120">
        <v>800</v>
      </c>
      <c r="H120">
        <v>22400</v>
      </c>
    </row>
    <row r="121" spans="1:8" x14ac:dyDescent="0.2">
      <c r="A121" s="8" t="s">
        <v>30</v>
      </c>
      <c r="B121">
        <v>88588</v>
      </c>
      <c r="C121" s="27">
        <v>43388</v>
      </c>
      <c r="D121">
        <v>8040</v>
      </c>
      <c r="E121">
        <v>120</v>
      </c>
      <c r="F121"/>
      <c r="G121">
        <v>470</v>
      </c>
      <c r="H121">
        <v>27260</v>
      </c>
    </row>
    <row r="122" spans="1:8" x14ac:dyDescent="0.2">
      <c r="A122" s="8" t="s">
        <v>30</v>
      </c>
      <c r="B122">
        <v>88588</v>
      </c>
      <c r="C122" s="27">
        <v>43388</v>
      </c>
      <c r="D122">
        <v>8040</v>
      </c>
      <c r="E122">
        <v>119</v>
      </c>
      <c r="F122"/>
      <c r="G122">
        <v>860</v>
      </c>
      <c r="H122">
        <v>53320</v>
      </c>
    </row>
    <row r="123" spans="1:8" x14ac:dyDescent="0.2">
      <c r="A123" s="8" t="s">
        <v>30</v>
      </c>
      <c r="B123">
        <v>88588</v>
      </c>
      <c r="C123" s="27">
        <v>43388</v>
      </c>
      <c r="D123">
        <v>8040</v>
      </c>
      <c r="E123">
        <v>110</v>
      </c>
      <c r="F123"/>
      <c r="G123">
        <v>180</v>
      </c>
      <c r="H123">
        <v>10800</v>
      </c>
    </row>
    <row r="124" spans="1:8" x14ac:dyDescent="0.2">
      <c r="A124" s="8" t="s">
        <v>30</v>
      </c>
      <c r="B124">
        <v>88588</v>
      </c>
      <c r="C124" s="27">
        <v>43388</v>
      </c>
      <c r="D124">
        <v>8040</v>
      </c>
      <c r="E124">
        <v>111</v>
      </c>
      <c r="F124"/>
      <c r="G124">
        <v>750</v>
      </c>
      <c r="H124">
        <v>15000</v>
      </c>
    </row>
    <row r="125" spans="1:8" x14ac:dyDescent="0.2">
      <c r="A125" s="8" t="s">
        <v>30</v>
      </c>
      <c r="B125">
        <v>88588</v>
      </c>
      <c r="C125" s="27">
        <v>43388</v>
      </c>
      <c r="D125">
        <v>8040</v>
      </c>
      <c r="E125">
        <v>109</v>
      </c>
      <c r="F125"/>
      <c r="G125">
        <v>560</v>
      </c>
      <c r="H125">
        <v>15680</v>
      </c>
    </row>
    <row r="126" spans="1:8" x14ac:dyDescent="0.2">
      <c r="A126" s="8" t="s">
        <v>30</v>
      </c>
      <c r="B126">
        <v>88588</v>
      </c>
      <c r="C126" s="27">
        <v>43388</v>
      </c>
      <c r="D126">
        <v>8040</v>
      </c>
      <c r="E126">
        <v>105</v>
      </c>
      <c r="F126"/>
      <c r="G126">
        <v>130</v>
      </c>
      <c r="H126">
        <v>1300</v>
      </c>
    </row>
    <row r="127" spans="1:8" x14ac:dyDescent="0.2">
      <c r="A127" s="8" t="s">
        <v>30</v>
      </c>
      <c r="B127">
        <v>88588</v>
      </c>
      <c r="C127" s="27">
        <v>43388</v>
      </c>
      <c r="D127">
        <v>8040</v>
      </c>
      <c r="E127">
        <v>103</v>
      </c>
      <c r="F127"/>
      <c r="G127">
        <v>110</v>
      </c>
      <c r="H127">
        <v>1320</v>
      </c>
    </row>
    <row r="128" spans="1:8" x14ac:dyDescent="0.2">
      <c r="A128" s="8" t="s">
        <v>30</v>
      </c>
      <c r="B128">
        <v>88544</v>
      </c>
      <c r="C128" s="27">
        <v>43395</v>
      </c>
      <c r="D128">
        <v>8040</v>
      </c>
      <c r="E128">
        <v>107</v>
      </c>
      <c r="F128"/>
      <c r="G128">
        <v>770</v>
      </c>
      <c r="H128">
        <v>3850</v>
      </c>
    </row>
    <row r="129" spans="1:8" x14ac:dyDescent="0.2">
      <c r="A129" s="8" t="s">
        <v>30</v>
      </c>
      <c r="B129">
        <v>88544</v>
      </c>
      <c r="C129" s="27">
        <v>43395</v>
      </c>
      <c r="D129">
        <v>8040</v>
      </c>
      <c r="E129">
        <v>120</v>
      </c>
      <c r="F129"/>
      <c r="G129">
        <v>300</v>
      </c>
      <c r="H129">
        <v>17400</v>
      </c>
    </row>
    <row r="130" spans="1:8" x14ac:dyDescent="0.2">
      <c r="A130" s="8" t="s">
        <v>30</v>
      </c>
      <c r="B130">
        <v>88666</v>
      </c>
      <c r="C130" s="27">
        <v>43399</v>
      </c>
      <c r="D130">
        <v>8030</v>
      </c>
      <c r="E130">
        <v>119</v>
      </c>
      <c r="F130"/>
      <c r="G130">
        <v>330</v>
      </c>
      <c r="H130">
        <v>20460</v>
      </c>
    </row>
    <row r="131" spans="1:8" x14ac:dyDescent="0.2">
      <c r="A131" s="8" t="s">
        <v>30</v>
      </c>
      <c r="B131">
        <v>88666</v>
      </c>
      <c r="C131" s="27">
        <v>43399</v>
      </c>
      <c r="D131">
        <v>8030</v>
      </c>
      <c r="E131">
        <v>107</v>
      </c>
      <c r="F131"/>
      <c r="G131">
        <v>460</v>
      </c>
      <c r="H131">
        <v>2300</v>
      </c>
    </row>
    <row r="132" spans="1:8" x14ac:dyDescent="0.2">
      <c r="A132" s="8" t="s">
        <v>30</v>
      </c>
      <c r="B132">
        <v>88666</v>
      </c>
      <c r="C132" s="27">
        <v>43399</v>
      </c>
      <c r="D132">
        <v>8030</v>
      </c>
      <c r="E132">
        <v>105</v>
      </c>
      <c r="F132">
        <v>1</v>
      </c>
      <c r="G132">
        <v>470</v>
      </c>
      <c r="H132">
        <v>4700</v>
      </c>
    </row>
    <row r="133" spans="1:8" x14ac:dyDescent="0.2">
      <c r="A133" s="8" t="s">
        <v>30</v>
      </c>
      <c r="B133">
        <v>88666</v>
      </c>
      <c r="C133" s="27">
        <v>43399</v>
      </c>
      <c r="D133">
        <v>8030</v>
      </c>
      <c r="E133">
        <v>115</v>
      </c>
      <c r="F133"/>
      <c r="G133">
        <v>390</v>
      </c>
      <c r="H133">
        <v>2340</v>
      </c>
    </row>
    <row r="134" spans="1:8" x14ac:dyDescent="0.2">
      <c r="A134" s="8" t="s">
        <v>30</v>
      </c>
      <c r="B134">
        <v>88666</v>
      </c>
      <c r="C134" s="27">
        <v>43399</v>
      </c>
      <c r="D134">
        <v>8030</v>
      </c>
      <c r="E134">
        <v>116</v>
      </c>
      <c r="F134"/>
      <c r="G134">
        <v>260</v>
      </c>
      <c r="H134">
        <v>1560</v>
      </c>
    </row>
    <row r="135" spans="1:8" x14ac:dyDescent="0.2">
      <c r="A135" s="8" t="s">
        <v>31</v>
      </c>
      <c r="B135">
        <v>44030</v>
      </c>
      <c r="C135" s="27">
        <v>43377</v>
      </c>
      <c r="D135">
        <v>8060</v>
      </c>
      <c r="E135">
        <v>108</v>
      </c>
      <c r="F135" t="s">
        <v>88</v>
      </c>
      <c r="G135">
        <v>60</v>
      </c>
      <c r="H135">
        <v>1680</v>
      </c>
    </row>
    <row r="136" spans="1:8" x14ac:dyDescent="0.2">
      <c r="A136" s="8" t="s">
        <v>31</v>
      </c>
      <c r="B136">
        <v>44030</v>
      </c>
      <c r="C136" s="27">
        <v>43377</v>
      </c>
      <c r="D136">
        <v>8060</v>
      </c>
      <c r="E136">
        <v>109</v>
      </c>
      <c r="F136">
        <v>1</v>
      </c>
      <c r="G136">
        <v>60</v>
      </c>
      <c r="H136">
        <v>1680</v>
      </c>
    </row>
    <row r="137" spans="1:8" x14ac:dyDescent="0.2">
      <c r="A137" s="8" t="s">
        <v>31</v>
      </c>
      <c r="B137">
        <v>44032</v>
      </c>
      <c r="C137" s="27">
        <v>43380</v>
      </c>
      <c r="D137">
        <v>8060</v>
      </c>
      <c r="E137">
        <v>108</v>
      </c>
      <c r="F137" t="s">
        <v>88</v>
      </c>
      <c r="G137">
        <v>60</v>
      </c>
      <c r="H137">
        <v>1680</v>
      </c>
    </row>
    <row r="138" spans="1:8" x14ac:dyDescent="0.2">
      <c r="A138" s="8" t="s">
        <v>31</v>
      </c>
      <c r="B138">
        <v>44032</v>
      </c>
      <c r="C138" s="27">
        <v>43380</v>
      </c>
      <c r="D138">
        <v>8060</v>
      </c>
      <c r="E138">
        <v>109</v>
      </c>
      <c r="F138"/>
      <c r="G138">
        <v>70</v>
      </c>
      <c r="H138">
        <v>1960</v>
      </c>
    </row>
    <row r="139" spans="1:8" x14ac:dyDescent="0.2">
      <c r="A139" s="8" t="s">
        <v>31</v>
      </c>
      <c r="B139">
        <v>44031</v>
      </c>
      <c r="C139" s="27">
        <v>43381</v>
      </c>
      <c r="D139">
        <v>8050</v>
      </c>
      <c r="E139">
        <v>108</v>
      </c>
      <c r="F139" t="s">
        <v>88</v>
      </c>
      <c r="G139">
        <v>60</v>
      </c>
      <c r="H139">
        <v>1680</v>
      </c>
    </row>
    <row r="140" spans="1:8" x14ac:dyDescent="0.2">
      <c r="A140" s="8" t="s">
        <v>31</v>
      </c>
      <c r="B140">
        <v>44031</v>
      </c>
      <c r="C140" s="27">
        <v>43381</v>
      </c>
      <c r="D140">
        <v>8050</v>
      </c>
      <c r="E140">
        <v>109</v>
      </c>
      <c r="F140" t="s">
        <v>88</v>
      </c>
      <c r="G140">
        <v>50</v>
      </c>
      <c r="H140">
        <v>1400</v>
      </c>
    </row>
    <row r="141" spans="1:8" x14ac:dyDescent="0.2">
      <c r="A141" s="8" t="s">
        <v>31</v>
      </c>
      <c r="B141">
        <v>44031</v>
      </c>
      <c r="C141" s="27">
        <v>43381</v>
      </c>
      <c r="D141">
        <v>8050</v>
      </c>
      <c r="E141">
        <v>110</v>
      </c>
      <c r="F141" t="s">
        <v>88</v>
      </c>
      <c r="G141">
        <v>60</v>
      </c>
      <c r="H141">
        <v>3600</v>
      </c>
    </row>
    <row r="142" spans="1:8" x14ac:dyDescent="0.2">
      <c r="A142" s="8" t="s">
        <v>31</v>
      </c>
      <c r="B142">
        <v>48112</v>
      </c>
      <c r="C142" s="27">
        <v>43384</v>
      </c>
      <c r="D142">
        <v>8060</v>
      </c>
      <c r="E142">
        <v>109</v>
      </c>
      <c r="F142"/>
      <c r="G142">
        <v>60</v>
      </c>
      <c r="H142">
        <v>1680</v>
      </c>
    </row>
    <row r="143" spans="1:8" x14ac:dyDescent="0.2">
      <c r="A143" s="8" t="s">
        <v>31</v>
      </c>
      <c r="B143">
        <v>48112</v>
      </c>
      <c r="C143" s="27">
        <v>43384</v>
      </c>
      <c r="D143">
        <v>8060</v>
      </c>
      <c r="E143">
        <v>110</v>
      </c>
      <c r="F143" t="s">
        <v>88</v>
      </c>
      <c r="G143">
        <v>50</v>
      </c>
      <c r="H143">
        <v>3000</v>
      </c>
    </row>
    <row r="144" spans="1:8" x14ac:dyDescent="0.2">
      <c r="A144" s="8" t="s">
        <v>31</v>
      </c>
      <c r="B144">
        <v>48114</v>
      </c>
      <c r="C144" s="27">
        <v>43384</v>
      </c>
      <c r="D144">
        <v>8050</v>
      </c>
      <c r="E144">
        <v>109</v>
      </c>
      <c r="F144"/>
      <c r="G144">
        <v>60</v>
      </c>
      <c r="H144">
        <v>1680</v>
      </c>
    </row>
    <row r="145" spans="1:8" x14ac:dyDescent="0.2">
      <c r="A145" s="8" t="s">
        <v>31</v>
      </c>
      <c r="B145">
        <v>48114</v>
      </c>
      <c r="C145" s="27">
        <v>43384</v>
      </c>
      <c r="D145">
        <v>8050</v>
      </c>
      <c r="E145">
        <v>110</v>
      </c>
      <c r="F145"/>
      <c r="G145">
        <v>60</v>
      </c>
      <c r="H145">
        <v>3600</v>
      </c>
    </row>
    <row r="146" spans="1:8" x14ac:dyDescent="0.2">
      <c r="A146" s="8" t="s">
        <v>31</v>
      </c>
      <c r="B146">
        <v>48114</v>
      </c>
      <c r="C146" s="27">
        <v>43384</v>
      </c>
      <c r="D146">
        <v>8050</v>
      </c>
      <c r="E146">
        <v>111</v>
      </c>
      <c r="F146"/>
      <c r="G146">
        <v>80</v>
      </c>
      <c r="H146">
        <v>1600</v>
      </c>
    </row>
    <row r="147" spans="1:8" x14ac:dyDescent="0.2">
      <c r="A147" s="8" t="s">
        <v>31</v>
      </c>
      <c r="B147">
        <v>48116</v>
      </c>
      <c r="C147" s="27">
        <v>43384</v>
      </c>
      <c r="D147">
        <v>8060</v>
      </c>
      <c r="E147">
        <v>109</v>
      </c>
      <c r="F147"/>
      <c r="G147">
        <v>60</v>
      </c>
      <c r="H147">
        <v>1680</v>
      </c>
    </row>
    <row r="148" spans="1:8" x14ac:dyDescent="0.2">
      <c r="A148" s="8" t="s">
        <v>31</v>
      </c>
      <c r="B148">
        <v>48116</v>
      </c>
      <c r="C148" s="27">
        <v>43384</v>
      </c>
      <c r="D148">
        <v>8060</v>
      </c>
      <c r="E148">
        <v>110</v>
      </c>
      <c r="F148"/>
      <c r="G148">
        <v>60</v>
      </c>
      <c r="H148">
        <v>3600</v>
      </c>
    </row>
    <row r="149" spans="1:8" x14ac:dyDescent="0.2">
      <c r="A149" s="8" t="s">
        <v>31</v>
      </c>
      <c r="B149">
        <v>45442</v>
      </c>
      <c r="C149" s="27">
        <v>43388</v>
      </c>
      <c r="D149">
        <v>8050</v>
      </c>
      <c r="E149">
        <v>108</v>
      </c>
      <c r="F149"/>
      <c r="G149">
        <v>50</v>
      </c>
      <c r="H149">
        <v>1400</v>
      </c>
    </row>
    <row r="150" spans="1:8" x14ac:dyDescent="0.2">
      <c r="A150" s="8" t="s">
        <v>31</v>
      </c>
      <c r="B150">
        <v>45442</v>
      </c>
      <c r="C150" s="27">
        <v>43388</v>
      </c>
      <c r="D150">
        <v>8050</v>
      </c>
      <c r="E150">
        <v>109</v>
      </c>
      <c r="F150">
        <v>1</v>
      </c>
      <c r="G150">
        <v>60</v>
      </c>
      <c r="H150">
        <v>1680</v>
      </c>
    </row>
    <row r="151" spans="1:8" x14ac:dyDescent="0.2">
      <c r="A151" s="8" t="s">
        <v>31</v>
      </c>
      <c r="B151">
        <v>45444</v>
      </c>
      <c r="C151" s="27">
        <v>43388</v>
      </c>
      <c r="D151">
        <v>8060</v>
      </c>
      <c r="E151">
        <v>108</v>
      </c>
      <c r="F151"/>
      <c r="G151">
        <v>60</v>
      </c>
      <c r="H151">
        <v>1680</v>
      </c>
    </row>
    <row r="152" spans="1:8" x14ac:dyDescent="0.2">
      <c r="A152" s="8" t="s">
        <v>31</v>
      </c>
      <c r="B152">
        <v>45444</v>
      </c>
      <c r="C152" s="27">
        <v>43388</v>
      </c>
      <c r="D152">
        <v>8060</v>
      </c>
      <c r="E152">
        <v>109</v>
      </c>
      <c r="F152"/>
      <c r="G152">
        <v>70</v>
      </c>
      <c r="H152">
        <v>1960</v>
      </c>
    </row>
    <row r="153" spans="1:8" x14ac:dyDescent="0.2">
      <c r="A153" s="8" t="s">
        <v>31</v>
      </c>
      <c r="B153">
        <v>45444</v>
      </c>
      <c r="C153" s="27">
        <v>43388</v>
      </c>
      <c r="D153">
        <v>8060</v>
      </c>
      <c r="E153">
        <v>110</v>
      </c>
      <c r="F153"/>
      <c r="G153">
        <v>60</v>
      </c>
      <c r="H153">
        <v>3600</v>
      </c>
    </row>
    <row r="154" spans="1:8" x14ac:dyDescent="0.2">
      <c r="A154" s="8" t="s">
        <v>31</v>
      </c>
      <c r="B154">
        <v>45446</v>
      </c>
      <c r="C154" s="27">
        <v>43388</v>
      </c>
      <c r="D154">
        <v>8050</v>
      </c>
      <c r="E154">
        <v>111</v>
      </c>
      <c r="F154"/>
      <c r="G154">
        <v>80</v>
      </c>
      <c r="H154">
        <v>1600</v>
      </c>
    </row>
    <row r="155" spans="1:8" x14ac:dyDescent="0.2">
      <c r="A155" s="8" t="s">
        <v>31</v>
      </c>
      <c r="B155">
        <v>45446</v>
      </c>
      <c r="C155" s="27">
        <v>43388</v>
      </c>
      <c r="D155">
        <v>8050</v>
      </c>
      <c r="E155">
        <v>108</v>
      </c>
      <c r="F155"/>
      <c r="G155">
        <v>50</v>
      </c>
      <c r="H155">
        <v>1400</v>
      </c>
    </row>
    <row r="156" spans="1:8" x14ac:dyDescent="0.2">
      <c r="A156" s="8" t="s">
        <v>31</v>
      </c>
      <c r="B156">
        <v>44015</v>
      </c>
      <c r="C156" s="27">
        <v>43383</v>
      </c>
      <c r="D156">
        <v>8060</v>
      </c>
      <c r="E156">
        <v>108</v>
      </c>
      <c r="F156"/>
      <c r="G156">
        <v>60</v>
      </c>
      <c r="H156">
        <v>1680</v>
      </c>
    </row>
    <row r="157" spans="1:8" x14ac:dyDescent="0.2">
      <c r="A157" s="8" t="s">
        <v>31</v>
      </c>
      <c r="B157">
        <v>44015</v>
      </c>
      <c r="C157" s="27">
        <v>43383</v>
      </c>
      <c r="D157">
        <v>8060</v>
      </c>
      <c r="E157">
        <v>109</v>
      </c>
      <c r="F157"/>
      <c r="G157">
        <v>70</v>
      </c>
      <c r="H157">
        <v>1960</v>
      </c>
    </row>
    <row r="158" spans="1:8" x14ac:dyDescent="0.2">
      <c r="A158" s="8" t="s">
        <v>31</v>
      </c>
      <c r="B158">
        <v>44017</v>
      </c>
      <c r="C158" s="27">
        <v>43386</v>
      </c>
      <c r="D158">
        <v>8060</v>
      </c>
      <c r="E158">
        <v>108</v>
      </c>
      <c r="F158"/>
      <c r="G158">
        <v>70</v>
      </c>
      <c r="H158">
        <v>1960</v>
      </c>
    </row>
    <row r="159" spans="1:8" x14ac:dyDescent="0.2">
      <c r="A159" s="8" t="s">
        <v>31</v>
      </c>
      <c r="B159">
        <v>44017</v>
      </c>
      <c r="C159" s="27">
        <v>43386</v>
      </c>
      <c r="D159">
        <v>8060</v>
      </c>
      <c r="E159">
        <v>109</v>
      </c>
      <c r="F159"/>
      <c r="G159">
        <v>70</v>
      </c>
      <c r="H159">
        <v>1960</v>
      </c>
    </row>
    <row r="160" spans="1:8" x14ac:dyDescent="0.2">
      <c r="A160" s="8" t="s">
        <v>31</v>
      </c>
      <c r="B160">
        <v>44016</v>
      </c>
      <c r="C160" s="27">
        <v>43387</v>
      </c>
      <c r="D160">
        <v>8050</v>
      </c>
      <c r="E160">
        <v>108</v>
      </c>
      <c r="F160"/>
      <c r="G160">
        <v>70</v>
      </c>
      <c r="H160">
        <v>1960</v>
      </c>
    </row>
    <row r="161" spans="1:8" x14ac:dyDescent="0.2">
      <c r="A161" s="8" t="s">
        <v>31</v>
      </c>
      <c r="B161">
        <v>44016</v>
      </c>
      <c r="C161" s="27">
        <v>43387</v>
      </c>
      <c r="D161">
        <v>8050</v>
      </c>
      <c r="E161">
        <v>109</v>
      </c>
      <c r="F161">
        <v>1</v>
      </c>
      <c r="G161">
        <v>60</v>
      </c>
      <c r="H161">
        <v>1680</v>
      </c>
    </row>
    <row r="162" spans="1:8" x14ac:dyDescent="0.2">
      <c r="A162" s="8" t="s">
        <v>31</v>
      </c>
      <c r="B162">
        <v>44016</v>
      </c>
      <c r="C162" s="27">
        <v>43387</v>
      </c>
      <c r="D162">
        <v>8050</v>
      </c>
      <c r="E162">
        <v>110</v>
      </c>
      <c r="F162"/>
      <c r="G162">
        <v>50</v>
      </c>
      <c r="H162">
        <v>3000</v>
      </c>
    </row>
    <row r="163" spans="1:8" x14ac:dyDescent="0.2">
      <c r="A163" s="8" t="s">
        <v>31</v>
      </c>
      <c r="B163">
        <v>48097</v>
      </c>
      <c r="C163" s="27">
        <v>43390</v>
      </c>
      <c r="D163">
        <v>8060</v>
      </c>
      <c r="E163">
        <v>109</v>
      </c>
      <c r="F163"/>
      <c r="G163">
        <v>60</v>
      </c>
      <c r="H163">
        <v>1680</v>
      </c>
    </row>
    <row r="164" spans="1:8" x14ac:dyDescent="0.2">
      <c r="A164" s="8" t="s">
        <v>31</v>
      </c>
      <c r="B164">
        <v>48097</v>
      </c>
      <c r="C164" s="27">
        <v>43390</v>
      </c>
      <c r="D164">
        <v>8060</v>
      </c>
      <c r="E164">
        <v>110</v>
      </c>
      <c r="F164"/>
      <c r="G164">
        <v>70</v>
      </c>
      <c r="H164">
        <v>4200</v>
      </c>
    </row>
    <row r="165" spans="1:8" x14ac:dyDescent="0.2">
      <c r="A165" s="8" t="s">
        <v>31</v>
      </c>
      <c r="B165">
        <v>48099</v>
      </c>
      <c r="C165" s="27">
        <v>43390</v>
      </c>
      <c r="D165">
        <v>8050</v>
      </c>
      <c r="E165">
        <v>109</v>
      </c>
      <c r="F165">
        <v>1</v>
      </c>
      <c r="G165">
        <v>60</v>
      </c>
      <c r="H165">
        <v>1680</v>
      </c>
    </row>
    <row r="166" spans="1:8" x14ac:dyDescent="0.2">
      <c r="A166" s="8" t="s">
        <v>31</v>
      </c>
      <c r="B166">
        <v>48099</v>
      </c>
      <c r="C166" s="27">
        <v>43390</v>
      </c>
      <c r="D166">
        <v>8050</v>
      </c>
      <c r="E166">
        <v>110</v>
      </c>
      <c r="F166"/>
      <c r="G166">
        <v>60</v>
      </c>
      <c r="H166">
        <v>3600</v>
      </c>
    </row>
    <row r="167" spans="1:8" x14ac:dyDescent="0.2">
      <c r="A167" s="8" t="s">
        <v>31</v>
      </c>
      <c r="B167">
        <v>48099</v>
      </c>
      <c r="C167" s="27">
        <v>43390</v>
      </c>
      <c r="D167">
        <v>8050</v>
      </c>
      <c r="E167">
        <v>111</v>
      </c>
      <c r="F167"/>
      <c r="G167">
        <v>60</v>
      </c>
      <c r="H167">
        <v>1200</v>
      </c>
    </row>
    <row r="168" spans="1:8" x14ac:dyDescent="0.2">
      <c r="A168" s="8" t="s">
        <v>31</v>
      </c>
      <c r="B168">
        <v>48101</v>
      </c>
      <c r="C168" s="27">
        <v>43390</v>
      </c>
      <c r="D168">
        <v>8060</v>
      </c>
      <c r="E168">
        <v>109</v>
      </c>
      <c r="F168"/>
      <c r="G168">
        <v>60</v>
      </c>
      <c r="H168">
        <v>1680</v>
      </c>
    </row>
    <row r="169" spans="1:8" x14ac:dyDescent="0.2">
      <c r="A169" s="8" t="s">
        <v>31</v>
      </c>
      <c r="B169">
        <v>48101</v>
      </c>
      <c r="C169" s="27">
        <v>43390</v>
      </c>
      <c r="D169">
        <v>8060</v>
      </c>
      <c r="E169">
        <v>110</v>
      </c>
      <c r="F169"/>
      <c r="G169">
        <v>50</v>
      </c>
      <c r="H169">
        <v>3000</v>
      </c>
    </row>
    <row r="170" spans="1:8" x14ac:dyDescent="0.2">
      <c r="A170" s="8" t="s">
        <v>31</v>
      </c>
      <c r="B170">
        <v>45427</v>
      </c>
      <c r="C170" s="27">
        <v>43394</v>
      </c>
      <c r="D170">
        <v>8050</v>
      </c>
      <c r="E170">
        <v>108</v>
      </c>
      <c r="F170"/>
      <c r="G170">
        <v>70</v>
      </c>
      <c r="H170">
        <v>1960</v>
      </c>
    </row>
    <row r="171" spans="1:8" x14ac:dyDescent="0.2">
      <c r="A171" s="8" t="s">
        <v>31</v>
      </c>
      <c r="B171">
        <v>45427</v>
      </c>
      <c r="C171" s="27">
        <v>43394</v>
      </c>
      <c r="D171">
        <v>8050</v>
      </c>
      <c r="E171">
        <v>109</v>
      </c>
      <c r="F171"/>
      <c r="G171">
        <v>60</v>
      </c>
      <c r="H171">
        <v>1680</v>
      </c>
    </row>
    <row r="172" spans="1:8" x14ac:dyDescent="0.2">
      <c r="A172" s="8" t="s">
        <v>31</v>
      </c>
      <c r="B172">
        <v>45429</v>
      </c>
      <c r="C172" s="27">
        <v>43394</v>
      </c>
      <c r="D172">
        <v>8060</v>
      </c>
      <c r="E172">
        <v>108</v>
      </c>
      <c r="F172"/>
      <c r="G172">
        <v>80</v>
      </c>
      <c r="H172">
        <v>2240</v>
      </c>
    </row>
    <row r="173" spans="1:8" x14ac:dyDescent="0.2">
      <c r="A173" s="8" t="s">
        <v>31</v>
      </c>
      <c r="B173">
        <v>45429</v>
      </c>
      <c r="C173" s="27">
        <v>43394</v>
      </c>
      <c r="D173">
        <v>8060</v>
      </c>
      <c r="E173">
        <v>109</v>
      </c>
      <c r="F173">
        <v>2</v>
      </c>
      <c r="G173">
        <v>80</v>
      </c>
      <c r="H173">
        <v>2240</v>
      </c>
    </row>
    <row r="174" spans="1:8" x14ac:dyDescent="0.2">
      <c r="A174" s="8" t="s">
        <v>31</v>
      </c>
      <c r="B174">
        <v>45429</v>
      </c>
      <c r="C174" s="27">
        <v>43394</v>
      </c>
      <c r="D174">
        <v>8060</v>
      </c>
      <c r="E174">
        <v>110</v>
      </c>
      <c r="F174"/>
      <c r="G174">
        <v>50</v>
      </c>
      <c r="H174">
        <v>3000</v>
      </c>
    </row>
    <row r="175" spans="1:8" x14ac:dyDescent="0.2">
      <c r="A175" s="8" t="s">
        <v>31</v>
      </c>
      <c r="B175">
        <v>45431</v>
      </c>
      <c r="C175" s="27">
        <v>43394</v>
      </c>
      <c r="D175">
        <v>8050</v>
      </c>
      <c r="E175">
        <v>111</v>
      </c>
      <c r="F175"/>
      <c r="G175">
        <v>60</v>
      </c>
      <c r="H175">
        <v>1200</v>
      </c>
    </row>
    <row r="176" spans="1:8" x14ac:dyDescent="0.2">
      <c r="A176" s="8" t="s">
        <v>31</v>
      </c>
      <c r="B176">
        <v>45431</v>
      </c>
      <c r="C176" s="27">
        <v>43394</v>
      </c>
      <c r="D176">
        <v>8050</v>
      </c>
      <c r="E176">
        <v>108</v>
      </c>
      <c r="F176"/>
      <c r="G176">
        <v>60</v>
      </c>
      <c r="H176">
        <v>1680</v>
      </c>
    </row>
    <row r="177" spans="1:8" x14ac:dyDescent="0.2">
      <c r="A177" s="8" t="s">
        <v>29</v>
      </c>
      <c r="B177">
        <v>24030</v>
      </c>
      <c r="C177" s="27">
        <v>43375</v>
      </c>
      <c r="D177">
        <v>8020</v>
      </c>
      <c r="E177">
        <v>101</v>
      </c>
      <c r="F177">
        <v>1</v>
      </c>
      <c r="G177">
        <v>130</v>
      </c>
      <c r="H177">
        <v>1560</v>
      </c>
    </row>
    <row r="178" spans="1:8" x14ac:dyDescent="0.2">
      <c r="A178" s="8" t="s">
        <v>29</v>
      </c>
      <c r="B178">
        <v>24030</v>
      </c>
      <c r="C178" s="27">
        <v>43375</v>
      </c>
      <c r="D178">
        <v>8020</v>
      </c>
      <c r="E178">
        <v>102</v>
      </c>
      <c r="F178"/>
      <c r="G178">
        <v>30</v>
      </c>
      <c r="H178">
        <v>360</v>
      </c>
    </row>
    <row r="179" spans="1:8" x14ac:dyDescent="0.2">
      <c r="A179" s="8" t="s">
        <v>29</v>
      </c>
      <c r="B179">
        <v>24030</v>
      </c>
      <c r="C179" s="27">
        <v>43375</v>
      </c>
      <c r="D179">
        <v>8020</v>
      </c>
      <c r="E179">
        <v>106</v>
      </c>
      <c r="F179" t="s">
        <v>88</v>
      </c>
      <c r="G179">
        <v>60</v>
      </c>
      <c r="H179">
        <v>300</v>
      </c>
    </row>
    <row r="180" spans="1:8" x14ac:dyDescent="0.2">
      <c r="A180" s="8" t="s">
        <v>29</v>
      </c>
      <c r="B180">
        <v>24030</v>
      </c>
      <c r="C180" s="27">
        <v>43375</v>
      </c>
      <c r="D180">
        <v>8020</v>
      </c>
      <c r="E180">
        <v>108</v>
      </c>
      <c r="F180"/>
      <c r="G180">
        <v>80</v>
      </c>
      <c r="H180">
        <v>2240</v>
      </c>
    </row>
    <row r="181" spans="1:8" x14ac:dyDescent="0.2">
      <c r="A181" s="8" t="s">
        <v>29</v>
      </c>
      <c r="B181">
        <v>24031</v>
      </c>
      <c r="C181" s="27">
        <v>43381</v>
      </c>
      <c r="D181">
        <v>8020</v>
      </c>
      <c r="E181">
        <v>101</v>
      </c>
      <c r="F181" t="s">
        <v>88</v>
      </c>
      <c r="G181">
        <v>100</v>
      </c>
      <c r="H181">
        <v>1200</v>
      </c>
    </row>
    <row r="182" spans="1:8" x14ac:dyDescent="0.2">
      <c r="A182" s="8" t="s">
        <v>29</v>
      </c>
      <c r="B182">
        <v>24031</v>
      </c>
      <c r="C182" s="27">
        <v>43381</v>
      </c>
      <c r="D182">
        <v>8020</v>
      </c>
      <c r="E182">
        <v>108</v>
      </c>
      <c r="F182" t="s">
        <v>88</v>
      </c>
      <c r="G182">
        <v>20</v>
      </c>
      <c r="H182">
        <v>560</v>
      </c>
    </row>
    <row r="183" spans="1:8" x14ac:dyDescent="0.2">
      <c r="A183" s="8" t="s">
        <v>29</v>
      </c>
      <c r="B183">
        <v>24031</v>
      </c>
      <c r="C183" s="27">
        <v>43381</v>
      </c>
      <c r="D183">
        <v>8020</v>
      </c>
      <c r="E183">
        <v>113</v>
      </c>
      <c r="F183" t="s">
        <v>88</v>
      </c>
      <c r="G183">
        <v>100</v>
      </c>
      <c r="H183">
        <v>2500</v>
      </c>
    </row>
    <row r="184" spans="1:8" x14ac:dyDescent="0.2">
      <c r="A184" s="8" t="s">
        <v>29</v>
      </c>
      <c r="B184">
        <v>28112</v>
      </c>
      <c r="C184" s="27">
        <v>43385</v>
      </c>
      <c r="D184">
        <v>8020</v>
      </c>
      <c r="E184">
        <v>114</v>
      </c>
      <c r="F184">
        <v>1</v>
      </c>
      <c r="G184">
        <v>50</v>
      </c>
      <c r="H184">
        <v>1250</v>
      </c>
    </row>
    <row r="185" spans="1:8" x14ac:dyDescent="0.2">
      <c r="A185" s="8" t="s">
        <v>29</v>
      </c>
      <c r="B185">
        <v>28112</v>
      </c>
      <c r="C185" s="27">
        <v>43385</v>
      </c>
      <c r="D185">
        <v>8020</v>
      </c>
      <c r="E185">
        <v>101</v>
      </c>
      <c r="F185" t="s">
        <v>88</v>
      </c>
      <c r="G185">
        <v>40</v>
      </c>
      <c r="H185">
        <v>480</v>
      </c>
    </row>
    <row r="186" spans="1:8" x14ac:dyDescent="0.2">
      <c r="A186" s="8" t="s">
        <v>29</v>
      </c>
      <c r="B186">
        <v>28112</v>
      </c>
      <c r="C186" s="27">
        <v>43385</v>
      </c>
      <c r="D186">
        <v>8020</v>
      </c>
      <c r="E186">
        <v>102</v>
      </c>
      <c r="F186"/>
      <c r="G186">
        <v>70</v>
      </c>
      <c r="H186">
        <v>840</v>
      </c>
    </row>
    <row r="187" spans="1:8" x14ac:dyDescent="0.2">
      <c r="A187" s="8" t="s">
        <v>29</v>
      </c>
      <c r="B187">
        <v>28112</v>
      </c>
      <c r="C187" s="27">
        <v>43385</v>
      </c>
      <c r="D187">
        <v>8020</v>
      </c>
      <c r="E187">
        <v>106</v>
      </c>
      <c r="F187"/>
      <c r="G187">
        <v>70</v>
      </c>
      <c r="H187">
        <v>350</v>
      </c>
    </row>
    <row r="188" spans="1:8" x14ac:dyDescent="0.2">
      <c r="A188" s="8" t="s">
        <v>29</v>
      </c>
      <c r="B188">
        <v>28112</v>
      </c>
      <c r="C188" s="27">
        <v>43385</v>
      </c>
      <c r="D188">
        <v>8020</v>
      </c>
      <c r="E188">
        <v>108</v>
      </c>
      <c r="F188"/>
      <c r="G188">
        <v>10</v>
      </c>
      <c r="H188">
        <v>280</v>
      </c>
    </row>
    <row r="189" spans="1:8" x14ac:dyDescent="0.2">
      <c r="A189" s="8" t="s">
        <v>29</v>
      </c>
      <c r="B189">
        <v>28112</v>
      </c>
      <c r="C189" s="27">
        <v>43385</v>
      </c>
      <c r="D189">
        <v>8020</v>
      </c>
      <c r="E189">
        <v>117</v>
      </c>
      <c r="F189"/>
      <c r="G189">
        <v>80</v>
      </c>
      <c r="H189">
        <v>1440</v>
      </c>
    </row>
    <row r="190" spans="1:8" x14ac:dyDescent="0.2">
      <c r="A190" s="8" t="s">
        <v>29</v>
      </c>
      <c r="B190">
        <v>28112</v>
      </c>
      <c r="C190" s="27">
        <v>43385</v>
      </c>
      <c r="D190">
        <v>8020</v>
      </c>
      <c r="E190">
        <v>118</v>
      </c>
      <c r="F190"/>
      <c r="G190">
        <v>70</v>
      </c>
      <c r="H190">
        <v>1260</v>
      </c>
    </row>
    <row r="191" spans="1:8" x14ac:dyDescent="0.2">
      <c r="A191" s="8" t="s">
        <v>29</v>
      </c>
      <c r="B191">
        <v>25442</v>
      </c>
      <c r="C191" s="27">
        <v>43389</v>
      </c>
      <c r="D191">
        <v>8010</v>
      </c>
      <c r="E191">
        <v>118</v>
      </c>
      <c r="F191"/>
      <c r="G191">
        <v>70</v>
      </c>
      <c r="H191">
        <v>1260</v>
      </c>
    </row>
    <row r="192" spans="1:8" x14ac:dyDescent="0.2">
      <c r="A192" s="8" t="s">
        <v>29</v>
      </c>
      <c r="B192">
        <v>25442</v>
      </c>
      <c r="C192" s="27">
        <v>43389</v>
      </c>
      <c r="D192">
        <v>8010</v>
      </c>
      <c r="E192">
        <v>117</v>
      </c>
      <c r="F192">
        <v>6</v>
      </c>
      <c r="G192">
        <v>80</v>
      </c>
      <c r="H192">
        <v>1440</v>
      </c>
    </row>
    <row r="193" spans="1:8" x14ac:dyDescent="0.2">
      <c r="A193" s="8" t="s">
        <v>29</v>
      </c>
      <c r="B193">
        <v>25442</v>
      </c>
      <c r="C193" s="27">
        <v>43389</v>
      </c>
      <c r="D193">
        <v>8010</v>
      </c>
      <c r="E193">
        <v>118</v>
      </c>
      <c r="F193"/>
      <c r="G193">
        <v>70</v>
      </c>
      <c r="H193">
        <v>1260</v>
      </c>
    </row>
    <row r="194" spans="1:8" x14ac:dyDescent="0.2">
      <c r="A194" s="8" t="s">
        <v>29</v>
      </c>
      <c r="B194">
        <v>25442</v>
      </c>
      <c r="C194" s="27">
        <v>43389</v>
      </c>
      <c r="D194">
        <v>8010</v>
      </c>
      <c r="E194">
        <v>116</v>
      </c>
      <c r="F194">
        <v>1</v>
      </c>
      <c r="G194">
        <v>60</v>
      </c>
      <c r="H194">
        <v>360</v>
      </c>
    </row>
    <row r="195" spans="1:8" x14ac:dyDescent="0.2">
      <c r="A195" s="8" t="s">
        <v>29</v>
      </c>
      <c r="B195">
        <v>25442</v>
      </c>
      <c r="C195" s="27">
        <v>43389</v>
      </c>
      <c r="D195">
        <v>8010</v>
      </c>
      <c r="E195">
        <v>106</v>
      </c>
      <c r="F195"/>
      <c r="G195">
        <v>20</v>
      </c>
      <c r="H195">
        <v>100</v>
      </c>
    </row>
    <row r="196" spans="1:8" x14ac:dyDescent="0.2">
      <c r="A196" s="8" t="s">
        <v>29</v>
      </c>
      <c r="B196">
        <v>25442</v>
      </c>
      <c r="C196" s="27">
        <v>43389</v>
      </c>
      <c r="D196">
        <v>8010</v>
      </c>
      <c r="E196">
        <v>101</v>
      </c>
      <c r="F196"/>
      <c r="G196">
        <v>40</v>
      </c>
      <c r="H196">
        <v>480</v>
      </c>
    </row>
    <row r="197" spans="1:8" x14ac:dyDescent="0.2">
      <c r="A197" s="8" t="s">
        <v>29</v>
      </c>
      <c r="B197">
        <v>25442</v>
      </c>
      <c r="C197" s="27">
        <v>43389</v>
      </c>
      <c r="D197">
        <v>8010</v>
      </c>
      <c r="E197">
        <v>102</v>
      </c>
      <c r="F197"/>
      <c r="G197">
        <v>10</v>
      </c>
      <c r="H197">
        <v>120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gion">
    <tabColor rgb="FF00B050"/>
  </sheetPr>
  <dimension ref="A1:AE43"/>
  <sheetViews>
    <sheetView showGridLines="0" topLeftCell="T1" zoomScaleNormal="100" workbookViewId="0">
      <selection activeCell="V21" sqref="V21"/>
    </sheetView>
  </sheetViews>
  <sheetFormatPr defaultRowHeight="12.75" x14ac:dyDescent="0.2"/>
  <cols>
    <col min="1" max="1" width="14.140625" customWidth="1"/>
    <col min="2" max="2" width="17.85546875" customWidth="1"/>
    <col min="3" max="3" width="17" customWidth="1"/>
    <col min="4" max="4" width="16.7109375" customWidth="1"/>
    <col min="5" max="5" width="14" customWidth="1"/>
    <col min="7" max="7" width="10.7109375" customWidth="1"/>
    <col min="8" max="8" width="18.140625" customWidth="1"/>
    <col min="9" max="10" width="17.5703125" customWidth="1"/>
    <col min="11" max="11" width="13.85546875" customWidth="1"/>
    <col min="12" max="12" width="11.28515625" customWidth="1"/>
    <col min="13" max="13" width="14.7109375" customWidth="1"/>
    <col min="17" max="17" width="5.7109375" customWidth="1"/>
    <col min="18" max="18" width="17.7109375" customWidth="1"/>
    <col min="19" max="19" width="19.85546875" customWidth="1"/>
    <col min="20" max="20" width="29.7109375" customWidth="1"/>
    <col min="21" max="21" width="19.85546875" customWidth="1"/>
    <col min="22" max="22" width="30.42578125" customWidth="1"/>
    <col min="23" max="23" width="15.7109375" customWidth="1"/>
    <col min="24" max="24" width="19.85546875" bestFit="1" customWidth="1"/>
    <col min="27" max="27" width="30.42578125" customWidth="1"/>
    <col min="28" max="28" width="15" bestFit="1" customWidth="1"/>
  </cols>
  <sheetData>
    <row r="1" spans="1:31" ht="27.75" x14ac:dyDescent="0.4">
      <c r="A1" s="9" t="s">
        <v>39</v>
      </c>
      <c r="B1" s="9" t="s">
        <v>2</v>
      </c>
      <c r="C1" s="9" t="s">
        <v>40</v>
      </c>
      <c r="D1" s="9" t="s">
        <v>49</v>
      </c>
      <c r="E1" s="9" t="s">
        <v>52</v>
      </c>
      <c r="F1" s="9" t="s">
        <v>43</v>
      </c>
      <c r="G1" s="9" t="s">
        <v>41</v>
      </c>
      <c r="H1" s="9" t="s">
        <v>89</v>
      </c>
      <c r="I1" s="9" t="s">
        <v>35</v>
      </c>
      <c r="J1" s="9" t="s">
        <v>44</v>
      </c>
      <c r="K1" s="9" t="s">
        <v>90</v>
      </c>
      <c r="L1" s="9" t="s">
        <v>3</v>
      </c>
      <c r="M1" s="9" t="s">
        <v>91</v>
      </c>
      <c r="R1" s="34" t="s">
        <v>96</v>
      </c>
      <c r="S1" s="34"/>
      <c r="T1" s="34"/>
      <c r="V1" s="34" t="s">
        <v>97</v>
      </c>
      <c r="W1" s="34"/>
      <c r="X1" s="34"/>
      <c r="Y1" s="34"/>
      <c r="Z1" s="34"/>
      <c r="AA1" s="34"/>
      <c r="AB1" s="34"/>
      <c r="AC1" s="33"/>
      <c r="AD1" s="33"/>
      <c r="AE1" s="33"/>
    </row>
    <row r="2" spans="1:31" x14ac:dyDescent="0.2">
      <c r="A2" s="8" t="s">
        <v>29</v>
      </c>
      <c r="B2">
        <v>24030</v>
      </c>
      <c r="C2" s="27">
        <v>43375</v>
      </c>
      <c r="D2">
        <v>8020</v>
      </c>
      <c r="E2">
        <v>101</v>
      </c>
      <c r="F2">
        <v>1</v>
      </c>
      <c r="G2">
        <v>130</v>
      </c>
      <c r="H2">
        <v>1560</v>
      </c>
      <c r="I2" t="str">
        <f>VLOOKUP(TempTable[[#This Row],[Company ID]],MCompany[],2,FALSE)</f>
        <v>Meta Creations</v>
      </c>
      <c r="J2" t="str">
        <f>VLOOKUP(TempTable[[#This Row],[Customer code]],MCustomer[],2,FALSE)</f>
        <v>Erma</v>
      </c>
      <c r="K2" t="str">
        <f>VLOOKUP(TempTable[[#This Row],[Article code]],MArticle[],2,FALSE)</f>
        <v>Men type T simple white</v>
      </c>
      <c r="L2" t="str">
        <f>VLOOKUP(TempTable[[#This Row],[Company ID]],MCompany[],3,FALSE)</f>
        <v>USD</v>
      </c>
      <c r="M2">
        <f>IF(TempTable[[#This Row],[Currency]]="EUR",ROUND(VLOOKUP(MONTH(TempTable[[#This Row],[Document Date]]),MExchange[],2,FALSE)*TempTable[[#This Row],[Sales Local Curr]],2),ROUND(TempTable[[#This Row],[Sales Local Curr]],2))</f>
        <v>1560</v>
      </c>
    </row>
    <row r="3" spans="1:31" x14ac:dyDescent="0.2">
      <c r="A3" s="8" t="s">
        <v>29</v>
      </c>
      <c r="B3">
        <v>24030</v>
      </c>
      <c r="C3" s="27">
        <v>43375</v>
      </c>
      <c r="D3">
        <v>8020</v>
      </c>
      <c r="E3">
        <v>102</v>
      </c>
      <c r="G3">
        <v>30</v>
      </c>
      <c r="H3">
        <v>360</v>
      </c>
      <c r="I3" s="30" t="str">
        <f>VLOOKUP(TempTable[[#This Row],[Company ID]],MCompany[],2,FALSE)</f>
        <v>Meta Creations</v>
      </c>
      <c r="J3" s="30" t="str">
        <f>VLOOKUP(TempTable[[#This Row],[Customer code]],MCustomer[],2,FALSE)</f>
        <v>Erma</v>
      </c>
      <c r="K3" s="30" t="str">
        <f>VLOOKUP(TempTable[[#This Row],[Article code]],MArticle[],2,FALSE)</f>
        <v>Men type T simple black</v>
      </c>
      <c r="L3" s="30" t="str">
        <f>VLOOKUP(TempTable[[#This Row],[Company ID]],MCompany[],3,FALSE)</f>
        <v>USD</v>
      </c>
      <c r="M3" s="30">
        <f>IF(TempTable[[#This Row],[Currency]]="EUR",ROUND(VLOOKUP(MONTH(TempTable[[#This Row],[Document Date]]),MExchange[],2,FALSE)*TempTable[[#This Row],[Sales Local Curr]],2),ROUND(TempTable[[#This Row],[Sales Local Curr]],2))</f>
        <v>360</v>
      </c>
    </row>
    <row r="4" spans="1:31" x14ac:dyDescent="0.2">
      <c r="A4" s="8" t="s">
        <v>29</v>
      </c>
      <c r="B4">
        <v>24030</v>
      </c>
      <c r="C4" s="27">
        <v>43375</v>
      </c>
      <c r="D4">
        <v>8020</v>
      </c>
      <c r="E4">
        <v>106</v>
      </c>
      <c r="F4" t="s">
        <v>88</v>
      </c>
      <c r="G4">
        <v>60</v>
      </c>
      <c r="H4">
        <v>300</v>
      </c>
      <c r="I4" s="30" t="str">
        <f>VLOOKUP(TempTable[[#This Row],[Company ID]],MCompany[],2,FALSE)</f>
        <v>Meta Creations</v>
      </c>
      <c r="J4" s="30" t="str">
        <f>VLOOKUP(TempTable[[#This Row],[Customer code]],MCustomer[],2,FALSE)</f>
        <v>Erma</v>
      </c>
      <c r="K4" s="30" t="str">
        <f>VLOOKUP(TempTable[[#This Row],[Article code]],MArticle[],2,FALSE)</f>
        <v>Men basics</v>
      </c>
      <c r="L4" s="30" t="str">
        <f>VLOOKUP(TempTable[[#This Row],[Company ID]],MCompany[],3,FALSE)</f>
        <v>USD</v>
      </c>
      <c r="M4" s="30">
        <f>IF(TempTable[[#This Row],[Currency]]="EUR",ROUND(VLOOKUP(MONTH(TempTable[[#This Row],[Document Date]]),MExchange[],2,FALSE)*TempTable[[#This Row],[Sales Local Curr]],2),ROUND(TempTable[[#This Row],[Sales Local Curr]],2))</f>
        <v>300</v>
      </c>
      <c r="R4" s="28" t="s">
        <v>99</v>
      </c>
      <c r="S4" t="s">
        <v>95</v>
      </c>
    </row>
    <row r="5" spans="1:31" x14ac:dyDescent="0.2">
      <c r="A5" s="8" t="s">
        <v>29</v>
      </c>
      <c r="B5">
        <v>24030</v>
      </c>
      <c r="C5" s="27">
        <v>43375</v>
      </c>
      <c r="D5">
        <v>8020</v>
      </c>
      <c r="E5">
        <v>108</v>
      </c>
      <c r="G5">
        <v>80</v>
      </c>
      <c r="H5">
        <v>2240</v>
      </c>
      <c r="I5" s="30" t="str">
        <f>VLOOKUP(TempTable[[#This Row],[Company ID]],MCompany[],2,FALSE)</f>
        <v>Meta Creations</v>
      </c>
      <c r="J5" s="30" t="str">
        <f>VLOOKUP(TempTable[[#This Row],[Customer code]],MCustomer[],2,FALSE)</f>
        <v>Erma</v>
      </c>
      <c r="K5" s="30" t="str">
        <f>VLOOKUP(TempTable[[#This Row],[Article code]],MArticle[],2,FALSE)</f>
        <v>Laptop bag black</v>
      </c>
      <c r="L5" s="30" t="str">
        <f>VLOOKUP(TempTable[[#This Row],[Company ID]],MCompany[],3,FALSE)</f>
        <v>USD</v>
      </c>
      <c r="M5" s="30">
        <f>IF(TempTable[[#This Row],[Currency]]="EUR",ROUND(VLOOKUP(MONTH(TempTable[[#This Row],[Document Date]]),MExchange[],2,FALSE)*TempTable[[#This Row],[Sales Local Curr]],2),ROUND(TempTable[[#This Row],[Sales Local Curr]],2))</f>
        <v>2240</v>
      </c>
      <c r="R5" s="29" t="s">
        <v>60</v>
      </c>
      <c r="S5" s="30">
        <v>8177.58</v>
      </c>
      <c r="T5" s="31"/>
    </row>
    <row r="6" spans="1:31" x14ac:dyDescent="0.2">
      <c r="A6" s="8" t="s">
        <v>29</v>
      </c>
      <c r="B6">
        <v>24031</v>
      </c>
      <c r="C6" s="27">
        <v>43381</v>
      </c>
      <c r="D6">
        <v>8020</v>
      </c>
      <c r="E6">
        <v>101</v>
      </c>
      <c r="F6" t="s">
        <v>88</v>
      </c>
      <c r="G6">
        <v>100</v>
      </c>
      <c r="H6">
        <v>1200</v>
      </c>
      <c r="I6" s="30" t="str">
        <f>VLOOKUP(TempTable[[#This Row],[Company ID]],MCompany[],2,FALSE)</f>
        <v>Meta Creations</v>
      </c>
      <c r="J6" s="30" t="str">
        <f>VLOOKUP(TempTable[[#This Row],[Customer code]],MCustomer[],2,FALSE)</f>
        <v>Erma</v>
      </c>
      <c r="K6" s="30" t="str">
        <f>VLOOKUP(TempTable[[#This Row],[Article code]],MArticle[],2,FALSE)</f>
        <v>Men type T simple white</v>
      </c>
      <c r="L6" s="30" t="str">
        <f>VLOOKUP(TempTable[[#This Row],[Company ID]],MCompany[],3,FALSE)</f>
        <v>USD</v>
      </c>
      <c r="M6" s="30">
        <f>IF(TempTable[[#This Row],[Currency]]="EUR",ROUND(VLOOKUP(MONTH(TempTable[[#This Row],[Document Date]]),MExchange[],2,FALSE)*TempTable[[#This Row],[Sales Local Curr]],2),ROUND(TempTable[[#This Row],[Sales Local Curr]],2))</f>
        <v>1200</v>
      </c>
      <c r="R6" s="29" t="s">
        <v>47</v>
      </c>
      <c r="S6" s="30">
        <v>27680</v>
      </c>
      <c r="T6" s="31"/>
    </row>
    <row r="7" spans="1:31" x14ac:dyDescent="0.2">
      <c r="A7" s="8" t="s">
        <v>29</v>
      </c>
      <c r="B7">
        <v>24031</v>
      </c>
      <c r="C7" s="27">
        <v>43381</v>
      </c>
      <c r="D7">
        <v>8020</v>
      </c>
      <c r="E7">
        <v>108</v>
      </c>
      <c r="F7" t="s">
        <v>88</v>
      </c>
      <c r="G7">
        <v>20</v>
      </c>
      <c r="H7">
        <v>560</v>
      </c>
      <c r="I7" s="30" t="str">
        <f>VLOOKUP(TempTable[[#This Row],[Company ID]],MCompany[],2,FALSE)</f>
        <v>Meta Creations</v>
      </c>
      <c r="J7" s="30" t="str">
        <f>VLOOKUP(TempTable[[#This Row],[Customer code]],MCustomer[],2,FALSE)</f>
        <v>Erma</v>
      </c>
      <c r="K7" s="30" t="str">
        <f>VLOOKUP(TempTable[[#This Row],[Article code]],MArticle[],2,FALSE)</f>
        <v>Laptop bag black</v>
      </c>
      <c r="L7" s="30" t="str">
        <f>VLOOKUP(TempTable[[#This Row],[Company ID]],MCompany[],3,FALSE)</f>
        <v>USD</v>
      </c>
      <c r="M7" s="30">
        <f>IF(TempTable[[#This Row],[Currency]]="EUR",ROUND(VLOOKUP(MONTH(TempTable[[#This Row],[Document Date]]),MExchange[],2,FALSE)*TempTable[[#This Row],[Sales Local Curr]],2),ROUND(TempTable[[#This Row],[Sales Local Curr]],2))</f>
        <v>560</v>
      </c>
      <c r="R7" s="29" t="s">
        <v>45</v>
      </c>
      <c r="S7" s="30">
        <v>10040</v>
      </c>
      <c r="T7" s="31"/>
      <c r="V7" s="28" t="s">
        <v>92</v>
      </c>
      <c r="W7" t="s">
        <v>94</v>
      </c>
      <c r="X7" t="s">
        <v>95</v>
      </c>
      <c r="AA7" s="28" t="s">
        <v>92</v>
      </c>
      <c r="AB7" t="s">
        <v>98</v>
      </c>
    </row>
    <row r="8" spans="1:31" x14ac:dyDescent="0.2">
      <c r="A8" s="8" t="s">
        <v>29</v>
      </c>
      <c r="B8">
        <v>24031</v>
      </c>
      <c r="C8" s="27">
        <v>43381</v>
      </c>
      <c r="D8">
        <v>8020</v>
      </c>
      <c r="E8">
        <v>113</v>
      </c>
      <c r="F8" t="s">
        <v>88</v>
      </c>
      <c r="G8">
        <v>100</v>
      </c>
      <c r="H8">
        <v>2500</v>
      </c>
      <c r="I8" s="30" t="str">
        <f>VLOOKUP(TempTable[[#This Row],[Company ID]],MCompany[],2,FALSE)</f>
        <v>Meta Creations</v>
      </c>
      <c r="J8" s="30" t="str">
        <f>VLOOKUP(TempTable[[#This Row],[Customer code]],MCustomer[],2,FALSE)</f>
        <v>Erma</v>
      </c>
      <c r="K8" s="30" t="str">
        <f>VLOOKUP(TempTable[[#This Row],[Article code]],MArticle[],2,FALSE)</f>
        <v>Men dress shirt black</v>
      </c>
      <c r="L8" s="30" t="str">
        <f>VLOOKUP(TempTable[[#This Row],[Company ID]],MCompany[],3,FALSE)</f>
        <v>USD</v>
      </c>
      <c r="M8" s="30">
        <f>IF(TempTable[[#This Row],[Currency]]="EUR",ROUND(VLOOKUP(MONTH(TempTable[[#This Row],[Document Date]]),MExchange[],2,FALSE)*TempTable[[#This Row],[Sales Local Curr]],2),ROUND(TempTable[[#This Row],[Sales Local Curr]],2))</f>
        <v>2500</v>
      </c>
      <c r="R8" s="29" t="s">
        <v>93</v>
      </c>
      <c r="S8" s="30">
        <v>45897.58</v>
      </c>
      <c r="V8" s="29" t="s">
        <v>23</v>
      </c>
      <c r="W8" s="30">
        <v>130</v>
      </c>
      <c r="X8" s="30">
        <v>8177.58</v>
      </c>
      <c r="Z8" s="32"/>
      <c r="AA8" s="29" t="s">
        <v>23</v>
      </c>
      <c r="AB8" s="30">
        <v>1</v>
      </c>
    </row>
    <row r="9" spans="1:31" x14ac:dyDescent="0.2">
      <c r="A9" s="8" t="s">
        <v>29</v>
      </c>
      <c r="B9">
        <v>28112</v>
      </c>
      <c r="C9" s="27">
        <v>43385</v>
      </c>
      <c r="D9">
        <v>8020</v>
      </c>
      <c r="E9">
        <v>114</v>
      </c>
      <c r="F9">
        <v>1</v>
      </c>
      <c r="G9">
        <v>50</v>
      </c>
      <c r="H9">
        <v>1250</v>
      </c>
      <c r="I9" s="30" t="str">
        <f>VLOOKUP(TempTable[[#This Row],[Company ID]],MCompany[],2,FALSE)</f>
        <v>Meta Creations</v>
      </c>
      <c r="J9" s="30" t="str">
        <f>VLOOKUP(TempTable[[#This Row],[Customer code]],MCustomer[],2,FALSE)</f>
        <v>Erma</v>
      </c>
      <c r="K9" s="30" t="str">
        <f>VLOOKUP(TempTable[[#This Row],[Article code]],MArticle[],2,FALSE)</f>
        <v>Men dress shirt grey</v>
      </c>
      <c r="L9" s="30" t="str">
        <f>VLOOKUP(TempTable[[#This Row],[Company ID]],MCompany[],3,FALSE)</f>
        <v>USD</v>
      </c>
      <c r="M9" s="30">
        <f>IF(TempTable[[#This Row],[Currency]]="EUR",ROUND(VLOOKUP(MONTH(TempTable[[#This Row],[Document Date]]),MExchange[],2,FALSE)*TempTable[[#This Row],[Sales Local Curr]],2),ROUND(TempTable[[#This Row],[Sales Local Curr]],2))</f>
        <v>1250</v>
      </c>
      <c r="V9" s="29" t="s">
        <v>93</v>
      </c>
      <c r="W9" s="30">
        <v>130</v>
      </c>
      <c r="X9" s="30">
        <v>8177.58</v>
      </c>
      <c r="AA9" s="29" t="s">
        <v>19</v>
      </c>
      <c r="AB9" s="30">
        <v>2</v>
      </c>
    </row>
    <row r="10" spans="1:31" x14ac:dyDescent="0.2">
      <c r="A10" s="8" t="s">
        <v>29</v>
      </c>
      <c r="B10">
        <v>28112</v>
      </c>
      <c r="C10" s="27">
        <v>43385</v>
      </c>
      <c r="D10">
        <v>8020</v>
      </c>
      <c r="E10">
        <v>101</v>
      </c>
      <c r="F10" t="s">
        <v>88</v>
      </c>
      <c r="G10">
        <v>40</v>
      </c>
      <c r="H10">
        <v>480</v>
      </c>
      <c r="I10" s="30" t="str">
        <f>VLOOKUP(TempTable[[#This Row],[Company ID]],MCompany[],2,FALSE)</f>
        <v>Meta Creations</v>
      </c>
      <c r="J10" s="30" t="str">
        <f>VLOOKUP(TempTable[[#This Row],[Customer code]],MCustomer[],2,FALSE)</f>
        <v>Erma</v>
      </c>
      <c r="K10" s="30" t="str">
        <f>VLOOKUP(TempTable[[#This Row],[Article code]],MArticle[],2,FALSE)</f>
        <v>Men type T simple white</v>
      </c>
      <c r="L10" s="30" t="str">
        <f>VLOOKUP(TempTable[[#This Row],[Company ID]],MCompany[],3,FALSE)</f>
        <v>USD</v>
      </c>
      <c r="M10" s="30">
        <f>IF(TempTable[[#This Row],[Currency]]="EUR",ROUND(VLOOKUP(MONTH(TempTable[[#This Row],[Document Date]]),MExchange[],2,FALSE)*TempTable[[#This Row],[Sales Local Curr]],2),ROUND(TempTable[[#This Row],[Sales Local Curr]],2))</f>
        <v>480</v>
      </c>
      <c r="AA10" s="29" t="s">
        <v>11</v>
      </c>
      <c r="AB10" s="30">
        <v>2</v>
      </c>
    </row>
    <row r="11" spans="1:31" x14ac:dyDescent="0.2">
      <c r="A11" s="8" t="s">
        <v>29</v>
      </c>
      <c r="B11">
        <v>28112</v>
      </c>
      <c r="C11" s="27">
        <v>43385</v>
      </c>
      <c r="D11">
        <v>8020</v>
      </c>
      <c r="E11">
        <v>102</v>
      </c>
      <c r="G11">
        <v>70</v>
      </c>
      <c r="H11">
        <v>840</v>
      </c>
      <c r="I11" s="30" t="str">
        <f>VLOOKUP(TempTable[[#This Row],[Company ID]],MCompany[],2,FALSE)</f>
        <v>Meta Creations</v>
      </c>
      <c r="J11" s="30" t="str">
        <f>VLOOKUP(TempTable[[#This Row],[Customer code]],MCustomer[],2,FALSE)</f>
        <v>Erma</v>
      </c>
      <c r="K11" s="30" t="str">
        <f>VLOOKUP(TempTable[[#This Row],[Article code]],MArticle[],2,FALSE)</f>
        <v>Men type T simple black</v>
      </c>
      <c r="L11" s="30" t="str">
        <f>VLOOKUP(TempTable[[#This Row],[Company ID]],MCompany[],3,FALSE)</f>
        <v>USD</v>
      </c>
      <c r="M11" s="30">
        <f>IF(TempTable[[#This Row],[Currency]]="EUR",ROUND(VLOOKUP(MONTH(TempTable[[#This Row],[Document Date]]),MExchange[],2,FALSE)*TempTable[[#This Row],[Sales Local Curr]],2),ROUND(TempTable[[#This Row],[Sales Local Curr]],2))</f>
        <v>840</v>
      </c>
      <c r="AA11" s="29" t="s">
        <v>7</v>
      </c>
      <c r="AB11" s="30"/>
    </row>
    <row r="12" spans="1:31" x14ac:dyDescent="0.2">
      <c r="A12" s="8" t="s">
        <v>29</v>
      </c>
      <c r="B12">
        <v>28112</v>
      </c>
      <c r="C12" s="27">
        <v>43385</v>
      </c>
      <c r="D12">
        <v>8020</v>
      </c>
      <c r="E12">
        <v>106</v>
      </c>
      <c r="G12">
        <v>70</v>
      </c>
      <c r="H12">
        <v>350</v>
      </c>
      <c r="I12" s="30" t="str">
        <f>VLOOKUP(TempTable[[#This Row],[Company ID]],MCompany[],2,FALSE)</f>
        <v>Meta Creations</v>
      </c>
      <c r="J12" s="30" t="str">
        <f>VLOOKUP(TempTable[[#This Row],[Customer code]],MCustomer[],2,FALSE)</f>
        <v>Erma</v>
      </c>
      <c r="K12" s="30" t="str">
        <f>VLOOKUP(TempTable[[#This Row],[Article code]],MArticle[],2,FALSE)</f>
        <v>Men basics</v>
      </c>
      <c r="L12" s="30" t="str">
        <f>VLOOKUP(TempTable[[#This Row],[Company ID]],MCompany[],3,FALSE)</f>
        <v>USD</v>
      </c>
      <c r="M12" s="30">
        <f>IF(TempTable[[#This Row],[Currency]]="EUR",ROUND(VLOOKUP(MONTH(TempTable[[#This Row],[Document Date]]),MExchange[],2,FALSE)*TempTable[[#This Row],[Sales Local Curr]],2),ROUND(TempTable[[#This Row],[Sales Local Curr]],2))</f>
        <v>350</v>
      </c>
      <c r="AA12" s="29" t="s">
        <v>5</v>
      </c>
      <c r="AB12" s="30">
        <v>2</v>
      </c>
    </row>
    <row r="13" spans="1:31" x14ac:dyDescent="0.2">
      <c r="A13" s="8" t="s">
        <v>29</v>
      </c>
      <c r="B13">
        <v>28112</v>
      </c>
      <c r="C13" s="27">
        <v>43385</v>
      </c>
      <c r="D13">
        <v>8020</v>
      </c>
      <c r="E13">
        <v>108</v>
      </c>
      <c r="G13">
        <v>10</v>
      </c>
      <c r="H13">
        <v>280</v>
      </c>
      <c r="I13" s="30" t="str">
        <f>VLOOKUP(TempTable[[#This Row],[Company ID]],MCompany[],2,FALSE)</f>
        <v>Meta Creations</v>
      </c>
      <c r="J13" s="30" t="str">
        <f>VLOOKUP(TempTable[[#This Row],[Customer code]],MCustomer[],2,FALSE)</f>
        <v>Erma</v>
      </c>
      <c r="K13" s="30" t="str">
        <f>VLOOKUP(TempTable[[#This Row],[Article code]],MArticle[],2,FALSE)</f>
        <v>Laptop bag black</v>
      </c>
      <c r="L13" s="30" t="str">
        <f>VLOOKUP(TempTable[[#This Row],[Company ID]],MCompany[],3,FALSE)</f>
        <v>USD</v>
      </c>
      <c r="M13" s="30">
        <f>IF(TempTable[[#This Row],[Currency]]="EUR",ROUND(VLOOKUP(MONTH(TempTable[[#This Row],[Document Date]]),MExchange[],2,FALSE)*TempTable[[#This Row],[Sales Local Curr]],2),ROUND(TempTable[[#This Row],[Sales Local Curr]],2))</f>
        <v>280</v>
      </c>
      <c r="AA13" s="29" t="s">
        <v>6</v>
      </c>
      <c r="AB13" s="30">
        <v>5</v>
      </c>
    </row>
    <row r="14" spans="1:31" x14ac:dyDescent="0.2">
      <c r="A14" s="8" t="s">
        <v>29</v>
      </c>
      <c r="B14">
        <v>28112</v>
      </c>
      <c r="C14" s="27">
        <v>43385</v>
      </c>
      <c r="D14">
        <v>8020</v>
      </c>
      <c r="E14">
        <v>117</v>
      </c>
      <c r="G14">
        <v>80</v>
      </c>
      <c r="H14">
        <v>1440</v>
      </c>
      <c r="I14" s="30" t="str">
        <f>VLOOKUP(TempTable[[#This Row],[Company ID]],MCompany[],2,FALSE)</f>
        <v>Meta Creations</v>
      </c>
      <c r="J14" s="30" t="str">
        <f>VLOOKUP(TempTable[[#This Row],[Customer code]],MCustomer[],2,FALSE)</f>
        <v>Erma</v>
      </c>
      <c r="K14" s="30" t="str">
        <f>VLOOKUP(TempTable[[#This Row],[Article code]],MArticle[],2,FALSE)</f>
        <v>Men shorts grey</v>
      </c>
      <c r="L14" s="30" t="str">
        <f>VLOOKUP(TempTable[[#This Row],[Company ID]],MCompany[],3,FALSE)</f>
        <v>USD</v>
      </c>
      <c r="M14" s="30">
        <f>IF(TempTable[[#This Row],[Currency]]="EUR",ROUND(VLOOKUP(MONTH(TempTable[[#This Row],[Document Date]]),MExchange[],2,FALSE)*TempTable[[#This Row],[Sales Local Curr]],2),ROUND(TempTable[[#This Row],[Sales Local Curr]],2))</f>
        <v>1440</v>
      </c>
      <c r="AA14" s="29" t="s">
        <v>16</v>
      </c>
      <c r="AB14" s="30">
        <v>2</v>
      </c>
    </row>
    <row r="15" spans="1:31" x14ac:dyDescent="0.2">
      <c r="A15" s="8" t="s">
        <v>29</v>
      </c>
      <c r="B15">
        <v>28112</v>
      </c>
      <c r="C15" s="27">
        <v>43385</v>
      </c>
      <c r="D15">
        <v>8020</v>
      </c>
      <c r="E15">
        <v>118</v>
      </c>
      <c r="G15">
        <v>70</v>
      </c>
      <c r="H15">
        <v>1260</v>
      </c>
      <c r="I15" s="30" t="str">
        <f>VLOOKUP(TempTable[[#This Row],[Company ID]],MCompany[],2,FALSE)</f>
        <v>Meta Creations</v>
      </c>
      <c r="J15" s="30" t="str">
        <f>VLOOKUP(TempTable[[#This Row],[Customer code]],MCustomer[],2,FALSE)</f>
        <v>Erma</v>
      </c>
      <c r="K15" s="30" t="str">
        <f>VLOOKUP(TempTable[[#This Row],[Article code]],MArticle[],2,FALSE)</f>
        <v>Men shorts black</v>
      </c>
      <c r="L15" s="30" t="str">
        <f>VLOOKUP(TempTable[[#This Row],[Company ID]],MCompany[],3,FALSE)</f>
        <v>USD</v>
      </c>
      <c r="M15" s="30">
        <f>IF(TempTable[[#This Row],[Currency]]="EUR",ROUND(VLOOKUP(MONTH(TempTable[[#This Row],[Document Date]]),MExchange[],2,FALSE)*TempTable[[#This Row],[Sales Local Curr]],2),ROUND(TempTable[[#This Row],[Sales Local Curr]],2))</f>
        <v>1260</v>
      </c>
      <c r="AA15" s="29" t="s">
        <v>17</v>
      </c>
      <c r="AB15" s="30">
        <v>2</v>
      </c>
    </row>
    <row r="16" spans="1:31" x14ac:dyDescent="0.2">
      <c r="A16" s="8" t="s">
        <v>29</v>
      </c>
      <c r="B16">
        <v>25442</v>
      </c>
      <c r="C16" s="27">
        <v>43389</v>
      </c>
      <c r="D16">
        <v>8010</v>
      </c>
      <c r="E16">
        <v>118</v>
      </c>
      <c r="G16">
        <v>70</v>
      </c>
      <c r="H16">
        <v>1260</v>
      </c>
      <c r="I16" s="30" t="str">
        <f>VLOOKUP(TempTable[[#This Row],[Company ID]],MCompany[],2,FALSE)</f>
        <v>Meta Creations</v>
      </c>
      <c r="J16" s="30" t="str">
        <f>VLOOKUP(TempTable[[#This Row],[Customer code]],MCustomer[],2,FALSE)</f>
        <v>Dellicia</v>
      </c>
      <c r="K16" s="30" t="str">
        <f>VLOOKUP(TempTable[[#This Row],[Article code]],MArticle[],2,FALSE)</f>
        <v>Men shorts black</v>
      </c>
      <c r="L16" s="30" t="str">
        <f>VLOOKUP(TempTable[[#This Row],[Company ID]],MCompany[],3,FALSE)</f>
        <v>USD</v>
      </c>
      <c r="M16" s="30">
        <f>IF(TempTable[[#This Row],[Currency]]="EUR",ROUND(VLOOKUP(MONTH(TempTable[[#This Row],[Document Date]]),MExchange[],2,FALSE)*TempTable[[#This Row],[Sales Local Curr]],2),ROUND(TempTable[[#This Row],[Sales Local Curr]],2))</f>
        <v>1260</v>
      </c>
      <c r="AA16" s="29" t="s">
        <v>20</v>
      </c>
      <c r="AB16" s="30">
        <v>2</v>
      </c>
    </row>
    <row r="17" spans="1:28" x14ac:dyDescent="0.2">
      <c r="A17" s="8" t="s">
        <v>29</v>
      </c>
      <c r="B17">
        <v>25442</v>
      </c>
      <c r="C17" s="27">
        <v>43389</v>
      </c>
      <c r="D17">
        <v>8010</v>
      </c>
      <c r="E17">
        <v>117</v>
      </c>
      <c r="F17">
        <v>6</v>
      </c>
      <c r="G17">
        <v>80</v>
      </c>
      <c r="H17">
        <v>1440</v>
      </c>
      <c r="I17" s="30" t="str">
        <f>VLOOKUP(TempTable[[#This Row],[Company ID]],MCompany[],2,FALSE)</f>
        <v>Meta Creations</v>
      </c>
      <c r="J17" s="30" t="str">
        <f>VLOOKUP(TempTable[[#This Row],[Customer code]],MCustomer[],2,FALSE)</f>
        <v>Dellicia</v>
      </c>
      <c r="K17" s="30" t="str">
        <f>VLOOKUP(TempTable[[#This Row],[Article code]],MArticle[],2,FALSE)</f>
        <v>Men shorts grey</v>
      </c>
      <c r="L17" s="30" t="str">
        <f>VLOOKUP(TempTable[[#This Row],[Company ID]],MCompany[],3,FALSE)</f>
        <v>USD</v>
      </c>
      <c r="M17" s="30">
        <f>IF(TempTable[[#This Row],[Currency]]="EUR",ROUND(VLOOKUP(MONTH(TempTable[[#This Row],[Document Date]]),MExchange[],2,FALSE)*TempTable[[#This Row],[Sales Local Curr]],2),ROUND(TempTable[[#This Row],[Sales Local Curr]],2))</f>
        <v>1440</v>
      </c>
      <c r="AA17" s="29" t="s">
        <v>21</v>
      </c>
      <c r="AB17" s="30"/>
    </row>
    <row r="18" spans="1:28" x14ac:dyDescent="0.2">
      <c r="A18" s="8" t="s">
        <v>29</v>
      </c>
      <c r="B18">
        <v>25442</v>
      </c>
      <c r="C18" s="27">
        <v>43389</v>
      </c>
      <c r="D18">
        <v>8010</v>
      </c>
      <c r="E18">
        <v>118</v>
      </c>
      <c r="G18">
        <v>70</v>
      </c>
      <c r="H18">
        <v>1260</v>
      </c>
      <c r="I18" s="30" t="str">
        <f>VLOOKUP(TempTable[[#This Row],[Company ID]],MCompany[],2,FALSE)</f>
        <v>Meta Creations</v>
      </c>
      <c r="J18" s="30" t="str">
        <f>VLOOKUP(TempTable[[#This Row],[Customer code]],MCustomer[],2,FALSE)</f>
        <v>Dellicia</v>
      </c>
      <c r="K18" s="30" t="str">
        <f>VLOOKUP(TempTable[[#This Row],[Article code]],MArticle[],2,FALSE)</f>
        <v>Men shorts black</v>
      </c>
      <c r="L18" s="30" t="str">
        <f>VLOOKUP(TempTable[[#This Row],[Company ID]],MCompany[],3,FALSE)</f>
        <v>USD</v>
      </c>
      <c r="M18" s="30">
        <f>IF(TempTable[[#This Row],[Currency]]="EUR",ROUND(VLOOKUP(MONTH(TempTable[[#This Row],[Document Date]]),MExchange[],2,FALSE)*TempTable[[#This Row],[Sales Local Curr]],2),ROUND(TempTable[[#This Row],[Sales Local Curr]],2))</f>
        <v>1260</v>
      </c>
      <c r="AA18" s="29" t="s">
        <v>93</v>
      </c>
      <c r="AB18" s="30">
        <v>18</v>
      </c>
    </row>
    <row r="19" spans="1:28" x14ac:dyDescent="0.2">
      <c r="A19" s="8" t="s">
        <v>29</v>
      </c>
      <c r="B19">
        <v>25442</v>
      </c>
      <c r="C19" s="27">
        <v>43389</v>
      </c>
      <c r="D19">
        <v>8010</v>
      </c>
      <c r="E19">
        <v>116</v>
      </c>
      <c r="F19">
        <v>1</v>
      </c>
      <c r="G19">
        <v>60</v>
      </c>
      <c r="H19">
        <v>360</v>
      </c>
      <c r="I19" s="30" t="str">
        <f>VLOOKUP(TempTable[[#This Row],[Company ID]],MCompany[],2,FALSE)</f>
        <v>Meta Creations</v>
      </c>
      <c r="J19" s="30" t="str">
        <f>VLOOKUP(TempTable[[#This Row],[Customer code]],MCustomer[],2,FALSE)</f>
        <v>Dellicia</v>
      </c>
      <c r="K19" s="30" t="str">
        <f>VLOOKUP(TempTable[[#This Row],[Article code]],MArticle[],2,FALSE)</f>
        <v>Unisex tank top white</v>
      </c>
      <c r="L19" s="30" t="str">
        <f>VLOOKUP(TempTable[[#This Row],[Company ID]],MCompany[],3,FALSE)</f>
        <v>USD</v>
      </c>
      <c r="M19" s="30">
        <f>IF(TempTable[[#This Row],[Currency]]="EUR",ROUND(VLOOKUP(MONTH(TempTable[[#This Row],[Document Date]]),MExchange[],2,FALSE)*TempTable[[#This Row],[Sales Local Curr]],2),ROUND(TempTable[[#This Row],[Sales Local Curr]],2))</f>
        <v>360</v>
      </c>
    </row>
    <row r="20" spans="1:28" x14ac:dyDescent="0.2">
      <c r="A20" s="8" t="s">
        <v>29</v>
      </c>
      <c r="B20">
        <v>25442</v>
      </c>
      <c r="C20" s="27">
        <v>43389</v>
      </c>
      <c r="D20">
        <v>8010</v>
      </c>
      <c r="E20">
        <v>106</v>
      </c>
      <c r="G20">
        <v>20</v>
      </c>
      <c r="H20">
        <v>100</v>
      </c>
      <c r="I20" s="30" t="str">
        <f>VLOOKUP(TempTable[[#This Row],[Company ID]],MCompany[],2,FALSE)</f>
        <v>Meta Creations</v>
      </c>
      <c r="J20" s="30" t="str">
        <f>VLOOKUP(TempTable[[#This Row],[Customer code]],MCustomer[],2,FALSE)</f>
        <v>Dellicia</v>
      </c>
      <c r="K20" s="30" t="str">
        <f>VLOOKUP(TempTable[[#This Row],[Article code]],MArticle[],2,FALSE)</f>
        <v>Men basics</v>
      </c>
      <c r="L20" s="30" t="str">
        <f>VLOOKUP(TempTable[[#This Row],[Company ID]],MCompany[],3,FALSE)</f>
        <v>USD</v>
      </c>
      <c r="M20" s="30">
        <f>IF(TempTable[[#This Row],[Currency]]="EUR",ROUND(VLOOKUP(MONTH(TempTable[[#This Row],[Document Date]]),MExchange[],2,FALSE)*TempTable[[#This Row],[Sales Local Curr]],2),ROUND(TempTable[[#This Row],[Sales Local Curr]],2))</f>
        <v>100</v>
      </c>
    </row>
    <row r="21" spans="1:28" x14ac:dyDescent="0.2">
      <c r="A21" s="8" t="s">
        <v>29</v>
      </c>
      <c r="B21">
        <v>25442</v>
      </c>
      <c r="C21" s="27">
        <v>43389</v>
      </c>
      <c r="D21">
        <v>8010</v>
      </c>
      <c r="E21">
        <v>101</v>
      </c>
      <c r="G21">
        <v>40</v>
      </c>
      <c r="H21">
        <v>480</v>
      </c>
      <c r="I21" s="30" t="str">
        <f>VLOOKUP(TempTable[[#This Row],[Company ID]],MCompany[],2,FALSE)</f>
        <v>Meta Creations</v>
      </c>
      <c r="J21" s="30" t="str">
        <f>VLOOKUP(TempTable[[#This Row],[Customer code]],MCustomer[],2,FALSE)</f>
        <v>Dellicia</v>
      </c>
      <c r="K21" s="30" t="str">
        <f>VLOOKUP(TempTable[[#This Row],[Article code]],MArticle[],2,FALSE)</f>
        <v>Men type T simple white</v>
      </c>
      <c r="L21" s="30" t="str">
        <f>VLOOKUP(TempTable[[#This Row],[Company ID]],MCompany[],3,FALSE)</f>
        <v>USD</v>
      </c>
      <c r="M21" s="30">
        <f>IF(TempTable[[#This Row],[Currency]]="EUR",ROUND(VLOOKUP(MONTH(TempTable[[#This Row],[Document Date]]),MExchange[],2,FALSE)*TempTable[[#This Row],[Sales Local Curr]],2),ROUND(TempTable[[#This Row],[Sales Local Curr]],2))</f>
        <v>480</v>
      </c>
    </row>
    <row r="22" spans="1:28" x14ac:dyDescent="0.2">
      <c r="A22" s="8" t="s">
        <v>29</v>
      </c>
      <c r="B22">
        <v>25442</v>
      </c>
      <c r="C22" s="27">
        <v>43389</v>
      </c>
      <c r="D22">
        <v>8010</v>
      </c>
      <c r="E22">
        <v>102</v>
      </c>
      <c r="G22">
        <v>10</v>
      </c>
      <c r="H22">
        <v>120</v>
      </c>
      <c r="I22" s="30" t="str">
        <f>VLOOKUP(TempTable[[#This Row],[Company ID]],MCompany[],2,FALSE)</f>
        <v>Meta Creations</v>
      </c>
      <c r="J22" s="30" t="str">
        <f>VLOOKUP(TempTable[[#This Row],[Customer code]],MCustomer[],2,FALSE)</f>
        <v>Dellicia</v>
      </c>
      <c r="K22" s="30" t="str">
        <f>VLOOKUP(TempTable[[#This Row],[Article code]],MArticle[],2,FALSE)</f>
        <v>Men type T simple black</v>
      </c>
      <c r="L22" s="30" t="str">
        <f>VLOOKUP(TempTable[[#This Row],[Company ID]],MCompany[],3,FALSE)</f>
        <v>USD</v>
      </c>
      <c r="M22" s="30">
        <f>IF(TempTable[[#This Row],[Currency]]="EUR",ROUND(VLOOKUP(MONTH(TempTable[[#This Row],[Document Date]]),MExchange[],2,FALSE)*TempTable[[#This Row],[Sales Local Curr]],2),ROUND(TempTable[[#This Row],[Sales Local Curr]],2))</f>
        <v>120</v>
      </c>
    </row>
    <row r="23" spans="1:28" x14ac:dyDescent="0.2">
      <c r="A23" s="35" t="s">
        <v>29</v>
      </c>
      <c r="B23">
        <v>24030</v>
      </c>
      <c r="C23" s="27">
        <v>43375</v>
      </c>
      <c r="D23">
        <v>8020</v>
      </c>
      <c r="E23">
        <v>101</v>
      </c>
      <c r="F23">
        <v>1</v>
      </c>
      <c r="G23">
        <v>130</v>
      </c>
      <c r="H23">
        <v>1560</v>
      </c>
      <c r="I23" s="30" t="str">
        <f>VLOOKUP(TempTable[[#This Row],[Company ID]],MCompany[],2,FALSE)</f>
        <v>Meta Creations</v>
      </c>
      <c r="J23" s="30" t="str">
        <f>VLOOKUP(TempTable[[#This Row],[Customer code]],MCustomer[],2,FALSE)</f>
        <v>Erma</v>
      </c>
      <c r="K23" s="30" t="str">
        <f>VLOOKUP(TempTable[[#This Row],[Article code]],MArticle[],2,FALSE)</f>
        <v>Men type T simple white</v>
      </c>
      <c r="L23" s="30" t="str">
        <f>VLOOKUP(TempTable[[#This Row],[Company ID]],MCompany[],3,FALSE)</f>
        <v>USD</v>
      </c>
      <c r="M23" s="30">
        <f>IF(TempTable[[#This Row],[Currency]]="EUR",ROUND(VLOOKUP(MONTH(TempTable[[#This Row],[Document Date]]),MExchange[],2,FALSE)*TempTable[[#This Row],[Sales Local Curr]],2),ROUND(TempTable[[#This Row],[Sales Local Curr]],2))</f>
        <v>1560</v>
      </c>
    </row>
    <row r="24" spans="1:28" x14ac:dyDescent="0.2">
      <c r="A24" s="35" t="s">
        <v>29</v>
      </c>
      <c r="B24">
        <v>24030</v>
      </c>
      <c r="C24" s="27">
        <v>43375</v>
      </c>
      <c r="D24">
        <v>8020</v>
      </c>
      <c r="E24">
        <v>102</v>
      </c>
      <c r="G24">
        <v>30</v>
      </c>
      <c r="H24">
        <v>360</v>
      </c>
      <c r="I24" s="30" t="str">
        <f>VLOOKUP(TempTable[[#This Row],[Company ID]],MCompany[],2,FALSE)</f>
        <v>Meta Creations</v>
      </c>
      <c r="J24" s="30" t="str">
        <f>VLOOKUP(TempTable[[#This Row],[Customer code]],MCustomer[],2,FALSE)</f>
        <v>Erma</v>
      </c>
      <c r="K24" s="30" t="str">
        <f>VLOOKUP(TempTable[[#This Row],[Article code]],MArticle[],2,FALSE)</f>
        <v>Men type T simple black</v>
      </c>
      <c r="L24" s="30" t="str">
        <f>VLOOKUP(TempTable[[#This Row],[Company ID]],MCompany[],3,FALSE)</f>
        <v>USD</v>
      </c>
      <c r="M24" s="30">
        <f>IF(TempTable[[#This Row],[Currency]]="EUR",ROUND(VLOOKUP(MONTH(TempTable[[#This Row],[Document Date]]),MExchange[],2,FALSE)*TempTable[[#This Row],[Sales Local Curr]],2),ROUND(TempTable[[#This Row],[Sales Local Curr]],2))</f>
        <v>360</v>
      </c>
    </row>
    <row r="25" spans="1:28" x14ac:dyDescent="0.2">
      <c r="A25" s="35" t="s">
        <v>29</v>
      </c>
      <c r="B25">
        <v>24030</v>
      </c>
      <c r="C25" s="27">
        <v>43375</v>
      </c>
      <c r="D25">
        <v>8020</v>
      </c>
      <c r="E25">
        <v>106</v>
      </c>
      <c r="F25" t="s">
        <v>88</v>
      </c>
      <c r="G25">
        <v>60</v>
      </c>
      <c r="H25">
        <v>300</v>
      </c>
      <c r="I25" s="30" t="str">
        <f>VLOOKUP(TempTable[[#This Row],[Company ID]],MCompany[],2,FALSE)</f>
        <v>Meta Creations</v>
      </c>
      <c r="J25" s="30" t="str">
        <f>VLOOKUP(TempTable[[#This Row],[Customer code]],MCustomer[],2,FALSE)</f>
        <v>Erma</v>
      </c>
      <c r="K25" s="30" t="str">
        <f>VLOOKUP(TempTable[[#This Row],[Article code]],MArticle[],2,FALSE)</f>
        <v>Men basics</v>
      </c>
      <c r="L25" s="30" t="str">
        <f>VLOOKUP(TempTable[[#This Row],[Company ID]],MCompany[],3,FALSE)</f>
        <v>USD</v>
      </c>
      <c r="M25" s="30">
        <f>IF(TempTable[[#This Row],[Currency]]="EUR",ROUND(VLOOKUP(MONTH(TempTable[[#This Row],[Document Date]]),MExchange[],2,FALSE)*TempTable[[#This Row],[Sales Local Curr]],2),ROUND(TempTable[[#This Row],[Sales Local Curr]],2))</f>
        <v>300</v>
      </c>
    </row>
    <row r="26" spans="1:28" x14ac:dyDescent="0.2">
      <c r="A26" s="35" t="s">
        <v>29</v>
      </c>
      <c r="B26">
        <v>24030</v>
      </c>
      <c r="C26" s="27">
        <v>43375</v>
      </c>
      <c r="D26">
        <v>8020</v>
      </c>
      <c r="E26">
        <v>108</v>
      </c>
      <c r="G26">
        <v>80</v>
      </c>
      <c r="H26">
        <v>2240</v>
      </c>
      <c r="I26" s="30" t="str">
        <f>VLOOKUP(TempTable[[#This Row],[Company ID]],MCompany[],2,FALSE)</f>
        <v>Meta Creations</v>
      </c>
      <c r="J26" s="30" t="str">
        <f>VLOOKUP(TempTable[[#This Row],[Customer code]],MCustomer[],2,FALSE)</f>
        <v>Erma</v>
      </c>
      <c r="K26" s="30" t="str">
        <f>VLOOKUP(TempTable[[#This Row],[Article code]],MArticle[],2,FALSE)</f>
        <v>Laptop bag black</v>
      </c>
      <c r="L26" s="30" t="str">
        <f>VLOOKUP(TempTable[[#This Row],[Company ID]],MCompany[],3,FALSE)</f>
        <v>USD</v>
      </c>
      <c r="M26" s="30">
        <f>IF(TempTable[[#This Row],[Currency]]="EUR",ROUND(VLOOKUP(MONTH(TempTable[[#This Row],[Document Date]]),MExchange[],2,FALSE)*TempTable[[#This Row],[Sales Local Curr]],2),ROUND(TempTable[[#This Row],[Sales Local Curr]],2))</f>
        <v>2240</v>
      </c>
    </row>
    <row r="27" spans="1:28" x14ac:dyDescent="0.2">
      <c r="A27" s="35" t="s">
        <v>29</v>
      </c>
      <c r="B27">
        <v>24031</v>
      </c>
      <c r="C27" s="27">
        <v>43381</v>
      </c>
      <c r="D27">
        <v>8020</v>
      </c>
      <c r="E27">
        <v>101</v>
      </c>
      <c r="F27" t="s">
        <v>88</v>
      </c>
      <c r="G27">
        <v>100</v>
      </c>
      <c r="H27">
        <v>1200</v>
      </c>
      <c r="I27" s="30" t="str">
        <f>VLOOKUP(TempTable[[#This Row],[Company ID]],MCompany[],2,FALSE)</f>
        <v>Meta Creations</v>
      </c>
      <c r="J27" s="30" t="str">
        <f>VLOOKUP(TempTable[[#This Row],[Customer code]],MCustomer[],2,FALSE)</f>
        <v>Erma</v>
      </c>
      <c r="K27" s="30" t="str">
        <f>VLOOKUP(TempTable[[#This Row],[Article code]],MArticle[],2,FALSE)</f>
        <v>Men type T simple white</v>
      </c>
      <c r="L27" s="30" t="str">
        <f>VLOOKUP(TempTable[[#This Row],[Company ID]],MCompany[],3,FALSE)</f>
        <v>USD</v>
      </c>
      <c r="M27" s="30">
        <f>IF(TempTable[[#This Row],[Currency]]="EUR",ROUND(VLOOKUP(MONTH(TempTable[[#This Row],[Document Date]]),MExchange[],2,FALSE)*TempTable[[#This Row],[Sales Local Curr]],2),ROUND(TempTable[[#This Row],[Sales Local Curr]],2))</f>
        <v>1200</v>
      </c>
    </row>
    <row r="28" spans="1:28" x14ac:dyDescent="0.2">
      <c r="A28" s="35" t="s">
        <v>29</v>
      </c>
      <c r="B28">
        <v>24031</v>
      </c>
      <c r="C28" s="27">
        <v>43381</v>
      </c>
      <c r="D28">
        <v>8020</v>
      </c>
      <c r="E28">
        <v>108</v>
      </c>
      <c r="F28" t="s">
        <v>88</v>
      </c>
      <c r="G28">
        <v>20</v>
      </c>
      <c r="H28">
        <v>560</v>
      </c>
      <c r="I28" s="30" t="str">
        <f>VLOOKUP(TempTable[[#This Row],[Company ID]],MCompany[],2,FALSE)</f>
        <v>Meta Creations</v>
      </c>
      <c r="J28" s="30" t="str">
        <f>VLOOKUP(TempTable[[#This Row],[Customer code]],MCustomer[],2,FALSE)</f>
        <v>Erma</v>
      </c>
      <c r="K28" s="30" t="str">
        <f>VLOOKUP(TempTable[[#This Row],[Article code]],MArticle[],2,FALSE)</f>
        <v>Laptop bag black</v>
      </c>
      <c r="L28" s="30" t="str">
        <f>VLOOKUP(TempTable[[#This Row],[Company ID]],MCompany[],3,FALSE)</f>
        <v>USD</v>
      </c>
      <c r="M28" s="30">
        <f>IF(TempTable[[#This Row],[Currency]]="EUR",ROUND(VLOOKUP(MONTH(TempTable[[#This Row],[Document Date]]),MExchange[],2,FALSE)*TempTable[[#This Row],[Sales Local Curr]],2),ROUND(TempTable[[#This Row],[Sales Local Curr]],2))</f>
        <v>560</v>
      </c>
    </row>
    <row r="29" spans="1:28" x14ac:dyDescent="0.2">
      <c r="A29" s="35" t="s">
        <v>29</v>
      </c>
      <c r="B29">
        <v>24031</v>
      </c>
      <c r="C29" s="27">
        <v>43381</v>
      </c>
      <c r="D29">
        <v>8020</v>
      </c>
      <c r="E29">
        <v>113</v>
      </c>
      <c r="F29" t="s">
        <v>88</v>
      </c>
      <c r="G29">
        <v>100</v>
      </c>
      <c r="H29">
        <v>2500</v>
      </c>
      <c r="I29" s="30" t="str">
        <f>VLOOKUP(TempTable[[#This Row],[Company ID]],MCompany[],2,FALSE)</f>
        <v>Meta Creations</v>
      </c>
      <c r="J29" s="30" t="str">
        <f>VLOOKUP(TempTable[[#This Row],[Customer code]],MCustomer[],2,FALSE)</f>
        <v>Erma</v>
      </c>
      <c r="K29" s="30" t="str">
        <f>VLOOKUP(TempTable[[#This Row],[Article code]],MArticle[],2,FALSE)</f>
        <v>Men dress shirt black</v>
      </c>
      <c r="L29" s="30" t="str">
        <f>VLOOKUP(TempTable[[#This Row],[Company ID]],MCompany[],3,FALSE)</f>
        <v>USD</v>
      </c>
      <c r="M29" s="30">
        <f>IF(TempTable[[#This Row],[Currency]]="EUR",ROUND(VLOOKUP(MONTH(TempTable[[#This Row],[Document Date]]),MExchange[],2,FALSE)*TempTable[[#This Row],[Sales Local Curr]],2),ROUND(TempTable[[#This Row],[Sales Local Curr]],2))</f>
        <v>2500</v>
      </c>
    </row>
    <row r="30" spans="1:28" x14ac:dyDescent="0.2">
      <c r="A30" s="35" t="s">
        <v>29</v>
      </c>
      <c r="B30">
        <v>28112</v>
      </c>
      <c r="C30" s="27">
        <v>43385</v>
      </c>
      <c r="D30">
        <v>8020</v>
      </c>
      <c r="E30">
        <v>114</v>
      </c>
      <c r="F30">
        <v>1</v>
      </c>
      <c r="G30">
        <v>50</v>
      </c>
      <c r="H30">
        <v>1250</v>
      </c>
      <c r="I30" s="30" t="str">
        <f>VLOOKUP(TempTable[[#This Row],[Company ID]],MCompany[],2,FALSE)</f>
        <v>Meta Creations</v>
      </c>
      <c r="J30" s="30" t="str">
        <f>VLOOKUP(TempTable[[#This Row],[Customer code]],MCustomer[],2,FALSE)</f>
        <v>Erma</v>
      </c>
      <c r="K30" s="30" t="str">
        <f>VLOOKUP(TempTable[[#This Row],[Article code]],MArticle[],2,FALSE)</f>
        <v>Men dress shirt grey</v>
      </c>
      <c r="L30" s="30" t="str">
        <f>VLOOKUP(TempTable[[#This Row],[Company ID]],MCompany[],3,FALSE)</f>
        <v>USD</v>
      </c>
      <c r="M30" s="30">
        <f>IF(TempTable[[#This Row],[Currency]]="EUR",ROUND(VLOOKUP(MONTH(TempTable[[#This Row],[Document Date]]),MExchange[],2,FALSE)*TempTable[[#This Row],[Sales Local Curr]],2),ROUND(TempTable[[#This Row],[Sales Local Curr]],2))</f>
        <v>1250</v>
      </c>
    </row>
    <row r="31" spans="1:28" x14ac:dyDescent="0.2">
      <c r="A31" s="35" t="s">
        <v>29</v>
      </c>
      <c r="B31">
        <v>28112</v>
      </c>
      <c r="C31" s="27">
        <v>43385</v>
      </c>
      <c r="D31">
        <v>8020</v>
      </c>
      <c r="E31">
        <v>101</v>
      </c>
      <c r="F31" t="s">
        <v>88</v>
      </c>
      <c r="G31">
        <v>40</v>
      </c>
      <c r="H31">
        <v>480</v>
      </c>
      <c r="I31" s="30" t="str">
        <f>VLOOKUP(TempTable[[#This Row],[Company ID]],MCompany[],2,FALSE)</f>
        <v>Meta Creations</v>
      </c>
      <c r="J31" s="30" t="str">
        <f>VLOOKUP(TempTable[[#This Row],[Customer code]],MCustomer[],2,FALSE)</f>
        <v>Erma</v>
      </c>
      <c r="K31" s="30" t="str">
        <f>VLOOKUP(TempTable[[#This Row],[Article code]],MArticle[],2,FALSE)</f>
        <v>Men type T simple white</v>
      </c>
      <c r="L31" s="30" t="str">
        <f>VLOOKUP(TempTable[[#This Row],[Company ID]],MCompany[],3,FALSE)</f>
        <v>USD</v>
      </c>
      <c r="M31" s="30">
        <f>IF(TempTable[[#This Row],[Currency]]="EUR",ROUND(VLOOKUP(MONTH(TempTable[[#This Row],[Document Date]]),MExchange[],2,FALSE)*TempTable[[#This Row],[Sales Local Curr]],2),ROUND(TempTable[[#This Row],[Sales Local Curr]],2))</f>
        <v>480</v>
      </c>
    </row>
    <row r="32" spans="1:28" x14ac:dyDescent="0.2">
      <c r="A32" s="35" t="s">
        <v>29</v>
      </c>
      <c r="B32">
        <v>28112</v>
      </c>
      <c r="C32" s="27">
        <v>43385</v>
      </c>
      <c r="D32">
        <v>8020</v>
      </c>
      <c r="E32">
        <v>102</v>
      </c>
      <c r="G32">
        <v>70</v>
      </c>
      <c r="H32">
        <v>840</v>
      </c>
      <c r="I32" s="30" t="str">
        <f>VLOOKUP(TempTable[[#This Row],[Company ID]],MCompany[],2,FALSE)</f>
        <v>Meta Creations</v>
      </c>
      <c r="J32" s="30" t="str">
        <f>VLOOKUP(TempTable[[#This Row],[Customer code]],MCustomer[],2,FALSE)</f>
        <v>Erma</v>
      </c>
      <c r="K32" s="30" t="str">
        <f>VLOOKUP(TempTable[[#This Row],[Article code]],MArticle[],2,FALSE)</f>
        <v>Men type T simple black</v>
      </c>
      <c r="L32" s="30" t="str">
        <f>VLOOKUP(TempTable[[#This Row],[Company ID]],MCompany[],3,FALSE)</f>
        <v>USD</v>
      </c>
      <c r="M32" s="30">
        <f>IF(TempTable[[#This Row],[Currency]]="EUR",ROUND(VLOOKUP(MONTH(TempTable[[#This Row],[Document Date]]),MExchange[],2,FALSE)*TempTable[[#This Row],[Sales Local Curr]],2),ROUND(TempTable[[#This Row],[Sales Local Curr]],2))</f>
        <v>840</v>
      </c>
    </row>
    <row r="33" spans="1:13" x14ac:dyDescent="0.2">
      <c r="A33" s="35" t="s">
        <v>29</v>
      </c>
      <c r="B33">
        <v>28112</v>
      </c>
      <c r="C33" s="27">
        <v>43385</v>
      </c>
      <c r="D33">
        <v>8020</v>
      </c>
      <c r="E33">
        <v>106</v>
      </c>
      <c r="G33">
        <v>70</v>
      </c>
      <c r="H33">
        <v>350</v>
      </c>
      <c r="I33" s="30" t="str">
        <f>VLOOKUP(TempTable[[#This Row],[Company ID]],MCompany[],2,FALSE)</f>
        <v>Meta Creations</v>
      </c>
      <c r="J33" s="30" t="str">
        <f>VLOOKUP(TempTable[[#This Row],[Customer code]],MCustomer[],2,FALSE)</f>
        <v>Erma</v>
      </c>
      <c r="K33" s="30" t="str">
        <f>VLOOKUP(TempTable[[#This Row],[Article code]],MArticle[],2,FALSE)</f>
        <v>Men basics</v>
      </c>
      <c r="L33" s="30" t="str">
        <f>VLOOKUP(TempTable[[#This Row],[Company ID]],MCompany[],3,FALSE)</f>
        <v>USD</v>
      </c>
      <c r="M33" s="30">
        <f>IF(TempTable[[#This Row],[Currency]]="EUR",ROUND(VLOOKUP(MONTH(TempTable[[#This Row],[Document Date]]),MExchange[],2,FALSE)*TempTable[[#This Row],[Sales Local Curr]],2),ROUND(TempTable[[#This Row],[Sales Local Curr]],2))</f>
        <v>350</v>
      </c>
    </row>
    <row r="34" spans="1:13" x14ac:dyDescent="0.2">
      <c r="A34" s="35" t="s">
        <v>29</v>
      </c>
      <c r="B34">
        <v>28112</v>
      </c>
      <c r="C34" s="27">
        <v>43385</v>
      </c>
      <c r="D34">
        <v>8020</v>
      </c>
      <c r="E34">
        <v>108</v>
      </c>
      <c r="G34">
        <v>10</v>
      </c>
      <c r="H34">
        <v>280</v>
      </c>
      <c r="I34" s="30" t="str">
        <f>VLOOKUP(TempTable[[#This Row],[Company ID]],MCompany[],2,FALSE)</f>
        <v>Meta Creations</v>
      </c>
      <c r="J34" s="30" t="str">
        <f>VLOOKUP(TempTable[[#This Row],[Customer code]],MCustomer[],2,FALSE)</f>
        <v>Erma</v>
      </c>
      <c r="K34" s="30" t="str">
        <f>VLOOKUP(TempTable[[#This Row],[Article code]],MArticle[],2,FALSE)</f>
        <v>Laptop bag black</v>
      </c>
      <c r="L34" s="30" t="str">
        <f>VLOOKUP(TempTable[[#This Row],[Company ID]],MCompany[],3,FALSE)</f>
        <v>USD</v>
      </c>
      <c r="M34" s="30">
        <f>IF(TempTable[[#This Row],[Currency]]="EUR",ROUND(VLOOKUP(MONTH(TempTable[[#This Row],[Document Date]]),MExchange[],2,FALSE)*TempTable[[#This Row],[Sales Local Curr]],2),ROUND(TempTable[[#This Row],[Sales Local Curr]],2))</f>
        <v>280</v>
      </c>
    </row>
    <row r="35" spans="1:13" x14ac:dyDescent="0.2">
      <c r="A35" s="35" t="s">
        <v>29</v>
      </c>
      <c r="B35">
        <v>28112</v>
      </c>
      <c r="C35" s="27">
        <v>43385</v>
      </c>
      <c r="D35">
        <v>8020</v>
      </c>
      <c r="E35">
        <v>117</v>
      </c>
      <c r="G35">
        <v>80</v>
      </c>
      <c r="H35">
        <v>1440</v>
      </c>
      <c r="I35" s="30" t="str">
        <f>VLOOKUP(TempTable[[#This Row],[Company ID]],MCompany[],2,FALSE)</f>
        <v>Meta Creations</v>
      </c>
      <c r="J35" s="30" t="str">
        <f>VLOOKUP(TempTable[[#This Row],[Customer code]],MCustomer[],2,FALSE)</f>
        <v>Erma</v>
      </c>
      <c r="K35" s="30" t="str">
        <f>VLOOKUP(TempTable[[#This Row],[Article code]],MArticle[],2,FALSE)</f>
        <v>Men shorts grey</v>
      </c>
      <c r="L35" s="30" t="str">
        <f>VLOOKUP(TempTable[[#This Row],[Company ID]],MCompany[],3,FALSE)</f>
        <v>USD</v>
      </c>
      <c r="M35" s="30">
        <f>IF(TempTable[[#This Row],[Currency]]="EUR",ROUND(VLOOKUP(MONTH(TempTable[[#This Row],[Document Date]]),MExchange[],2,FALSE)*TempTable[[#This Row],[Sales Local Curr]],2),ROUND(TempTable[[#This Row],[Sales Local Curr]],2))</f>
        <v>1440</v>
      </c>
    </row>
    <row r="36" spans="1:13" x14ac:dyDescent="0.2">
      <c r="A36" s="35" t="s">
        <v>29</v>
      </c>
      <c r="B36">
        <v>28112</v>
      </c>
      <c r="C36" s="27">
        <v>43385</v>
      </c>
      <c r="D36">
        <v>8020</v>
      </c>
      <c r="E36">
        <v>118</v>
      </c>
      <c r="G36">
        <v>70</v>
      </c>
      <c r="H36">
        <v>1260</v>
      </c>
      <c r="I36" s="30" t="str">
        <f>VLOOKUP(TempTable[[#This Row],[Company ID]],MCompany[],2,FALSE)</f>
        <v>Meta Creations</v>
      </c>
      <c r="J36" s="30" t="str">
        <f>VLOOKUP(TempTable[[#This Row],[Customer code]],MCustomer[],2,FALSE)</f>
        <v>Erma</v>
      </c>
      <c r="K36" s="30" t="str">
        <f>VLOOKUP(TempTable[[#This Row],[Article code]],MArticle[],2,FALSE)</f>
        <v>Men shorts black</v>
      </c>
      <c r="L36" s="30" t="str">
        <f>VLOOKUP(TempTable[[#This Row],[Company ID]],MCompany[],3,FALSE)</f>
        <v>USD</v>
      </c>
      <c r="M36" s="30">
        <f>IF(TempTable[[#This Row],[Currency]]="EUR",ROUND(VLOOKUP(MONTH(TempTable[[#This Row],[Document Date]]),MExchange[],2,FALSE)*TempTable[[#This Row],[Sales Local Curr]],2),ROUND(TempTable[[#This Row],[Sales Local Curr]],2))</f>
        <v>1260</v>
      </c>
    </row>
    <row r="37" spans="1:13" x14ac:dyDescent="0.2">
      <c r="A37" s="35" t="s">
        <v>29</v>
      </c>
      <c r="B37">
        <v>25442</v>
      </c>
      <c r="C37" s="27">
        <v>43389</v>
      </c>
      <c r="D37">
        <v>8010</v>
      </c>
      <c r="E37">
        <v>118</v>
      </c>
      <c r="G37">
        <v>70</v>
      </c>
      <c r="H37">
        <v>1260</v>
      </c>
      <c r="I37" s="30" t="str">
        <f>VLOOKUP(TempTable[[#This Row],[Company ID]],MCompany[],2,FALSE)</f>
        <v>Meta Creations</v>
      </c>
      <c r="J37" s="30" t="str">
        <f>VLOOKUP(TempTable[[#This Row],[Customer code]],MCustomer[],2,FALSE)</f>
        <v>Dellicia</v>
      </c>
      <c r="K37" s="30" t="str">
        <f>VLOOKUP(TempTable[[#This Row],[Article code]],MArticle[],2,FALSE)</f>
        <v>Men shorts black</v>
      </c>
      <c r="L37" s="30" t="str">
        <f>VLOOKUP(TempTable[[#This Row],[Company ID]],MCompany[],3,FALSE)</f>
        <v>USD</v>
      </c>
      <c r="M37" s="30">
        <f>IF(TempTable[[#This Row],[Currency]]="EUR",ROUND(VLOOKUP(MONTH(TempTable[[#This Row],[Document Date]]),MExchange[],2,FALSE)*TempTable[[#This Row],[Sales Local Curr]],2),ROUND(TempTable[[#This Row],[Sales Local Curr]],2))</f>
        <v>1260</v>
      </c>
    </row>
    <row r="38" spans="1:13" x14ac:dyDescent="0.2">
      <c r="A38" s="35" t="s">
        <v>29</v>
      </c>
      <c r="B38">
        <v>25442</v>
      </c>
      <c r="C38" s="27">
        <v>43389</v>
      </c>
      <c r="D38">
        <v>8010</v>
      </c>
      <c r="E38">
        <v>117</v>
      </c>
      <c r="F38">
        <v>6</v>
      </c>
      <c r="G38">
        <v>80</v>
      </c>
      <c r="H38">
        <v>1440</v>
      </c>
      <c r="I38" s="30" t="str">
        <f>VLOOKUP(TempTable[[#This Row],[Company ID]],MCompany[],2,FALSE)</f>
        <v>Meta Creations</v>
      </c>
      <c r="J38" s="30" t="str">
        <f>VLOOKUP(TempTable[[#This Row],[Customer code]],MCustomer[],2,FALSE)</f>
        <v>Dellicia</v>
      </c>
      <c r="K38" s="30" t="str">
        <f>VLOOKUP(TempTable[[#This Row],[Article code]],MArticle[],2,FALSE)</f>
        <v>Men shorts grey</v>
      </c>
      <c r="L38" s="30" t="str">
        <f>VLOOKUP(TempTable[[#This Row],[Company ID]],MCompany[],3,FALSE)</f>
        <v>USD</v>
      </c>
      <c r="M38" s="30">
        <f>IF(TempTable[[#This Row],[Currency]]="EUR",ROUND(VLOOKUP(MONTH(TempTable[[#This Row],[Document Date]]),MExchange[],2,FALSE)*TempTable[[#This Row],[Sales Local Curr]],2),ROUND(TempTable[[#This Row],[Sales Local Curr]],2))</f>
        <v>1440</v>
      </c>
    </row>
    <row r="39" spans="1:13" x14ac:dyDescent="0.2">
      <c r="A39" s="35" t="s">
        <v>29</v>
      </c>
      <c r="B39">
        <v>25442</v>
      </c>
      <c r="C39" s="27">
        <v>43389</v>
      </c>
      <c r="D39">
        <v>8010</v>
      </c>
      <c r="E39">
        <v>118</v>
      </c>
      <c r="G39">
        <v>70</v>
      </c>
      <c r="H39">
        <v>1260</v>
      </c>
      <c r="I39" s="30" t="str">
        <f>VLOOKUP(TempTable[[#This Row],[Company ID]],MCompany[],2,FALSE)</f>
        <v>Meta Creations</v>
      </c>
      <c r="J39" s="30" t="str">
        <f>VLOOKUP(TempTable[[#This Row],[Customer code]],MCustomer[],2,FALSE)</f>
        <v>Dellicia</v>
      </c>
      <c r="K39" s="30" t="str">
        <f>VLOOKUP(TempTable[[#This Row],[Article code]],MArticle[],2,FALSE)</f>
        <v>Men shorts black</v>
      </c>
      <c r="L39" s="30" t="str">
        <f>VLOOKUP(TempTable[[#This Row],[Company ID]],MCompany[],3,FALSE)</f>
        <v>USD</v>
      </c>
      <c r="M39" s="30">
        <f>IF(TempTable[[#This Row],[Currency]]="EUR",ROUND(VLOOKUP(MONTH(TempTable[[#This Row],[Document Date]]),MExchange[],2,FALSE)*TempTable[[#This Row],[Sales Local Curr]],2),ROUND(TempTable[[#This Row],[Sales Local Curr]],2))</f>
        <v>1260</v>
      </c>
    </row>
    <row r="40" spans="1:13" x14ac:dyDescent="0.2">
      <c r="A40" s="35" t="s">
        <v>29</v>
      </c>
      <c r="B40">
        <v>25442</v>
      </c>
      <c r="C40" s="27">
        <v>43389</v>
      </c>
      <c r="D40">
        <v>8010</v>
      </c>
      <c r="E40">
        <v>116</v>
      </c>
      <c r="F40">
        <v>1</v>
      </c>
      <c r="G40">
        <v>60</v>
      </c>
      <c r="H40">
        <v>360</v>
      </c>
      <c r="I40" s="30" t="str">
        <f>VLOOKUP(TempTable[[#This Row],[Company ID]],MCompany[],2,FALSE)</f>
        <v>Meta Creations</v>
      </c>
      <c r="J40" s="30" t="str">
        <f>VLOOKUP(TempTable[[#This Row],[Customer code]],MCustomer[],2,FALSE)</f>
        <v>Dellicia</v>
      </c>
      <c r="K40" s="30" t="str">
        <f>VLOOKUP(TempTable[[#This Row],[Article code]],MArticle[],2,FALSE)</f>
        <v>Unisex tank top white</v>
      </c>
      <c r="L40" s="30" t="str">
        <f>VLOOKUP(TempTable[[#This Row],[Company ID]],MCompany[],3,FALSE)</f>
        <v>USD</v>
      </c>
      <c r="M40" s="30">
        <f>IF(TempTable[[#This Row],[Currency]]="EUR",ROUND(VLOOKUP(MONTH(TempTable[[#This Row],[Document Date]]),MExchange[],2,FALSE)*TempTable[[#This Row],[Sales Local Curr]],2),ROUND(TempTable[[#This Row],[Sales Local Curr]],2))</f>
        <v>360</v>
      </c>
    </row>
    <row r="41" spans="1:13" x14ac:dyDescent="0.2">
      <c r="A41" s="35" t="s">
        <v>29</v>
      </c>
      <c r="B41">
        <v>25442</v>
      </c>
      <c r="C41" s="27">
        <v>43389</v>
      </c>
      <c r="D41">
        <v>8010</v>
      </c>
      <c r="E41">
        <v>106</v>
      </c>
      <c r="G41">
        <v>20</v>
      </c>
      <c r="H41">
        <v>100</v>
      </c>
      <c r="I41" s="30" t="str">
        <f>VLOOKUP(TempTable[[#This Row],[Company ID]],MCompany[],2,FALSE)</f>
        <v>Meta Creations</v>
      </c>
      <c r="J41" s="30" t="str">
        <f>VLOOKUP(TempTable[[#This Row],[Customer code]],MCustomer[],2,FALSE)</f>
        <v>Dellicia</v>
      </c>
      <c r="K41" s="30" t="str">
        <f>VLOOKUP(TempTable[[#This Row],[Article code]],MArticle[],2,FALSE)</f>
        <v>Men basics</v>
      </c>
      <c r="L41" s="30" t="str">
        <f>VLOOKUP(TempTable[[#This Row],[Company ID]],MCompany[],3,FALSE)</f>
        <v>USD</v>
      </c>
      <c r="M41" s="30">
        <f>IF(TempTable[[#This Row],[Currency]]="EUR",ROUND(VLOOKUP(MONTH(TempTable[[#This Row],[Document Date]]),MExchange[],2,FALSE)*TempTable[[#This Row],[Sales Local Curr]],2),ROUND(TempTable[[#This Row],[Sales Local Curr]],2))</f>
        <v>100</v>
      </c>
    </row>
    <row r="42" spans="1:13" x14ac:dyDescent="0.2">
      <c r="A42" s="35" t="s">
        <v>29</v>
      </c>
      <c r="B42">
        <v>25442</v>
      </c>
      <c r="C42" s="27">
        <v>43389</v>
      </c>
      <c r="D42">
        <v>8010</v>
      </c>
      <c r="E42">
        <v>101</v>
      </c>
      <c r="G42">
        <v>40</v>
      </c>
      <c r="H42">
        <v>480</v>
      </c>
      <c r="I42" s="30" t="str">
        <f>VLOOKUP(TempTable[[#This Row],[Company ID]],MCompany[],2,FALSE)</f>
        <v>Meta Creations</v>
      </c>
      <c r="J42" s="30" t="str">
        <f>VLOOKUP(TempTable[[#This Row],[Customer code]],MCustomer[],2,FALSE)</f>
        <v>Dellicia</v>
      </c>
      <c r="K42" s="30" t="str">
        <f>VLOOKUP(TempTable[[#This Row],[Article code]],MArticle[],2,FALSE)</f>
        <v>Men type T simple white</v>
      </c>
      <c r="L42" s="30" t="str">
        <f>VLOOKUP(TempTable[[#This Row],[Company ID]],MCompany[],3,FALSE)</f>
        <v>USD</v>
      </c>
      <c r="M42" s="30">
        <f>IF(TempTable[[#This Row],[Currency]]="EUR",ROUND(VLOOKUP(MONTH(TempTable[[#This Row],[Document Date]]),MExchange[],2,FALSE)*TempTable[[#This Row],[Sales Local Curr]],2),ROUND(TempTable[[#This Row],[Sales Local Curr]],2))</f>
        <v>480</v>
      </c>
    </row>
    <row r="43" spans="1:13" x14ac:dyDescent="0.2">
      <c r="A43" s="35" t="s">
        <v>29</v>
      </c>
      <c r="B43">
        <v>25442</v>
      </c>
      <c r="C43" s="27">
        <v>43389</v>
      </c>
      <c r="D43">
        <v>8010</v>
      </c>
      <c r="E43">
        <v>102</v>
      </c>
      <c r="G43">
        <v>10</v>
      </c>
      <c r="H43">
        <v>120</v>
      </c>
      <c r="I43" s="30" t="str">
        <f>VLOOKUP(TempTable[[#This Row],[Company ID]],MCompany[],2,FALSE)</f>
        <v>Meta Creations</v>
      </c>
      <c r="J43" s="30" t="str">
        <f>VLOOKUP(TempTable[[#This Row],[Customer code]],MCustomer[],2,FALSE)</f>
        <v>Dellicia</v>
      </c>
      <c r="K43" s="30" t="str">
        <f>VLOOKUP(TempTable[[#This Row],[Article code]],MArticle[],2,FALSE)</f>
        <v>Men type T simple black</v>
      </c>
      <c r="L43" s="30" t="str">
        <f>VLOOKUP(TempTable[[#This Row],[Company ID]],MCompany[],3,FALSE)</f>
        <v>USD</v>
      </c>
      <c r="M43" s="30">
        <f>IF(TempTable[[#This Row],[Currency]]="EUR",ROUND(VLOOKUP(MONTH(TempTable[[#This Row],[Document Date]]),MExchange[],2,FALSE)*TempTable[[#This Row],[Sales Local Curr]],2),ROUND(TempTable[[#This Row],[Sales Local Curr]],2))</f>
        <v>120</v>
      </c>
    </row>
  </sheetData>
  <mergeCells count="2">
    <mergeCell ref="R1:T1"/>
    <mergeCell ref="V1:AB1"/>
  </mergeCells>
  <pageMargins left="0.7" right="0.7" top="0.75" bottom="0.75" header="0.3" footer="0.3"/>
  <drawing r:id="rId4"/>
  <tableParts count="1">
    <tablePart r:id="rId5"/>
  </tableParts>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p"/>
  <dimension ref="A1:J68"/>
  <sheetViews>
    <sheetView showGridLines="0" workbookViewId="0">
      <selection activeCell="C9" sqref="C9"/>
    </sheetView>
  </sheetViews>
  <sheetFormatPr defaultRowHeight="12.75" x14ac:dyDescent="0.2"/>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
      <c r="A1" s="2"/>
      <c r="B1" s="2"/>
      <c r="C1" s="2"/>
      <c r="D1" s="2"/>
      <c r="E1" s="2"/>
      <c r="F1" s="2"/>
      <c r="G1" s="2"/>
      <c r="H1" s="2"/>
      <c r="I1" s="2"/>
      <c r="J1" s="2"/>
    </row>
    <row r="2" spans="1:10" ht="15" x14ac:dyDescent="0.25">
      <c r="A2" s="3"/>
      <c r="B2" s="3" t="s">
        <v>24</v>
      </c>
      <c r="C2" s="3"/>
      <c r="D2" s="3"/>
      <c r="E2" s="3"/>
      <c r="F2" s="3"/>
      <c r="G2" s="3"/>
      <c r="H2" s="3"/>
      <c r="I2" s="3"/>
      <c r="J2" s="3"/>
    </row>
    <row r="3" spans="1:10" ht="15" x14ac:dyDescent="0.25">
      <c r="A3" s="3"/>
      <c r="B3" s="3" t="s">
        <v>25</v>
      </c>
      <c r="C3" s="3"/>
      <c r="D3" s="3"/>
      <c r="E3" s="3"/>
      <c r="F3" s="3"/>
      <c r="G3" s="3"/>
      <c r="H3" s="3"/>
      <c r="I3" s="3"/>
      <c r="J3" s="3"/>
    </row>
    <row r="4" spans="1:10" x14ac:dyDescent="0.2">
      <c r="A4" s="2"/>
      <c r="B4" s="2"/>
      <c r="C4" s="2"/>
      <c r="D4" s="2"/>
      <c r="E4" s="2"/>
      <c r="F4" s="2"/>
      <c r="G4" s="2"/>
      <c r="H4" s="2"/>
      <c r="I4" s="2"/>
      <c r="J4" s="2"/>
    </row>
    <row r="6" spans="1:10" x14ac:dyDescent="0.2">
      <c r="A6" s="4" t="s">
        <v>27</v>
      </c>
      <c r="B6" s="4"/>
      <c r="C6" s="4"/>
      <c r="D6" s="4"/>
      <c r="E6" s="4"/>
      <c r="F6" s="4"/>
      <c r="G6" s="4"/>
      <c r="H6" s="4"/>
      <c r="I6" s="4"/>
      <c r="J6" s="4"/>
    </row>
    <row r="7" spans="1:10" x14ac:dyDescent="0.2">
      <c r="A7" s="11"/>
      <c r="B7" s="11"/>
      <c r="C7" s="11"/>
      <c r="D7" s="11"/>
      <c r="E7" s="11"/>
      <c r="F7" s="11"/>
      <c r="G7" s="11"/>
      <c r="H7" s="11"/>
      <c r="I7" s="11"/>
      <c r="J7" s="11"/>
    </row>
    <row r="8" spans="1:10" ht="26.25" customHeight="1" x14ac:dyDescent="0.2">
      <c r="B8" s="5" t="s">
        <v>50</v>
      </c>
      <c r="C8" s="6" t="s">
        <v>35</v>
      </c>
      <c r="D8" s="6" t="s">
        <v>3</v>
      </c>
      <c r="E8" s="6" t="s">
        <v>53</v>
      </c>
      <c r="G8" s="6" t="s">
        <v>58</v>
      </c>
    </row>
    <row r="9" spans="1:10" x14ac:dyDescent="0.2">
      <c r="B9" t="s">
        <v>28</v>
      </c>
      <c r="C9" t="s">
        <v>32</v>
      </c>
      <c r="D9" t="s">
        <v>1</v>
      </c>
      <c r="E9" t="s">
        <v>54</v>
      </c>
      <c r="G9" t="s">
        <v>54</v>
      </c>
    </row>
    <row r="10" spans="1:10" x14ac:dyDescent="0.2">
      <c r="B10" t="s">
        <v>29</v>
      </c>
      <c r="C10" t="s">
        <v>46</v>
      </c>
      <c r="D10" t="s">
        <v>1</v>
      </c>
      <c r="E10" t="s">
        <v>54</v>
      </c>
      <c r="G10" t="s">
        <v>55</v>
      </c>
    </row>
    <row r="11" spans="1:10" x14ac:dyDescent="0.2">
      <c r="B11" s="12" t="s">
        <v>30</v>
      </c>
      <c r="C11" s="12" t="s">
        <v>34</v>
      </c>
      <c r="D11" s="12" t="s">
        <v>38</v>
      </c>
      <c r="E11" t="s">
        <v>55</v>
      </c>
    </row>
    <row r="12" spans="1:10" x14ac:dyDescent="0.2">
      <c r="B12" s="12" t="s">
        <v>31</v>
      </c>
      <c r="C12" s="12" t="s">
        <v>33</v>
      </c>
      <c r="D12" s="12" t="s">
        <v>38</v>
      </c>
      <c r="E12" t="s">
        <v>55</v>
      </c>
    </row>
    <row r="13" spans="1:10" x14ac:dyDescent="0.2">
      <c r="B13" s="12"/>
      <c r="C13" s="12"/>
      <c r="D13" s="12"/>
    </row>
    <row r="14" spans="1:10" x14ac:dyDescent="0.2">
      <c r="A14" s="4" t="s">
        <v>36</v>
      </c>
      <c r="B14" s="4"/>
      <c r="C14" s="4"/>
      <c r="D14" s="4"/>
      <c r="E14" s="4"/>
      <c r="F14" s="4"/>
      <c r="G14" s="4"/>
      <c r="H14" s="4"/>
      <c r="I14" s="4"/>
      <c r="J14" s="4"/>
    </row>
    <row r="15" spans="1:10" x14ac:dyDescent="0.2">
      <c r="A15" s="11"/>
      <c r="B15" s="11"/>
      <c r="C15" s="11"/>
      <c r="D15" s="11"/>
      <c r="E15" s="11"/>
      <c r="F15" s="11"/>
      <c r="G15" s="11"/>
      <c r="H15" s="11"/>
      <c r="I15" s="11"/>
      <c r="J15" s="11"/>
    </row>
    <row r="16" spans="1:10" ht="15" x14ac:dyDescent="0.2">
      <c r="B16" s="5" t="s">
        <v>49</v>
      </c>
      <c r="C16" s="6" t="s">
        <v>44</v>
      </c>
    </row>
    <row r="17" spans="1:10" x14ac:dyDescent="0.2">
      <c r="B17">
        <v>8010</v>
      </c>
      <c r="C17" t="s">
        <v>45</v>
      </c>
    </row>
    <row r="18" spans="1:10" x14ac:dyDescent="0.2">
      <c r="B18">
        <v>8020</v>
      </c>
      <c r="C18" t="s">
        <v>47</v>
      </c>
    </row>
    <row r="19" spans="1:10" x14ac:dyDescent="0.2">
      <c r="B19">
        <v>8030</v>
      </c>
      <c r="C19" t="s">
        <v>48</v>
      </c>
    </row>
    <row r="20" spans="1:10" x14ac:dyDescent="0.2">
      <c r="B20">
        <v>8040</v>
      </c>
      <c r="C20" t="s">
        <v>59</v>
      </c>
    </row>
    <row r="21" spans="1:10" x14ac:dyDescent="0.2">
      <c r="B21">
        <v>8050</v>
      </c>
      <c r="C21" t="s">
        <v>60</v>
      </c>
    </row>
    <row r="22" spans="1:10" x14ac:dyDescent="0.2">
      <c r="B22">
        <v>8060</v>
      </c>
      <c r="C22" t="s">
        <v>61</v>
      </c>
    </row>
    <row r="24" spans="1:10" x14ac:dyDescent="0.2">
      <c r="A24" s="4" t="s">
        <v>26</v>
      </c>
      <c r="B24" s="4"/>
      <c r="C24" s="4"/>
      <c r="D24" s="4"/>
      <c r="E24" s="4"/>
      <c r="F24" s="4"/>
      <c r="G24" s="4"/>
      <c r="H24" s="4"/>
      <c r="I24" s="4"/>
      <c r="J24" s="4"/>
    </row>
    <row r="25" spans="1:10" x14ac:dyDescent="0.2">
      <c r="A25" s="11"/>
      <c r="B25" s="11"/>
      <c r="C25" s="11"/>
      <c r="D25" s="11"/>
      <c r="E25" s="11"/>
      <c r="F25" s="11"/>
      <c r="G25" s="11"/>
      <c r="H25" s="11"/>
      <c r="I25" s="11"/>
      <c r="J25" s="11"/>
    </row>
    <row r="26" spans="1:10" ht="15" x14ac:dyDescent="0.2">
      <c r="B26" s="5" t="s">
        <v>52</v>
      </c>
      <c r="C26" s="6" t="s">
        <v>0</v>
      </c>
    </row>
    <row r="27" spans="1:10" x14ac:dyDescent="0.2">
      <c r="B27" s="1">
        <v>101</v>
      </c>
      <c r="C27" t="s">
        <v>6</v>
      </c>
      <c r="F27" s="1"/>
    </row>
    <row r="28" spans="1:10" x14ac:dyDescent="0.2">
      <c r="B28" s="1">
        <v>102</v>
      </c>
      <c r="C28" t="s">
        <v>7</v>
      </c>
      <c r="F28" s="1"/>
    </row>
    <row r="29" spans="1:10" x14ac:dyDescent="0.2">
      <c r="B29" s="1">
        <v>103</v>
      </c>
      <c r="C29" t="s">
        <v>8</v>
      </c>
      <c r="F29" s="1"/>
    </row>
    <row r="30" spans="1:10" x14ac:dyDescent="0.2">
      <c r="B30" s="1">
        <v>104</v>
      </c>
      <c r="C30" t="s">
        <v>9</v>
      </c>
      <c r="F30" s="1"/>
    </row>
    <row r="31" spans="1:10" x14ac:dyDescent="0.2">
      <c r="B31" s="1">
        <v>105</v>
      </c>
      <c r="C31" t="s">
        <v>4</v>
      </c>
      <c r="F31" s="1"/>
    </row>
    <row r="32" spans="1:10" x14ac:dyDescent="0.2">
      <c r="B32" s="1">
        <v>106</v>
      </c>
      <c r="C32" t="s">
        <v>5</v>
      </c>
      <c r="F32" s="1"/>
    </row>
    <row r="33" spans="1:6" x14ac:dyDescent="0.2">
      <c r="B33" s="1">
        <v>107</v>
      </c>
      <c r="C33" t="s">
        <v>10</v>
      </c>
      <c r="F33" s="1"/>
    </row>
    <row r="34" spans="1:6" x14ac:dyDescent="0.2">
      <c r="B34" s="1">
        <v>108</v>
      </c>
      <c r="C34" t="s">
        <v>11</v>
      </c>
      <c r="F34" s="1"/>
    </row>
    <row r="35" spans="1:6" x14ac:dyDescent="0.2">
      <c r="B35" s="1">
        <v>109</v>
      </c>
      <c r="C35" t="s">
        <v>12</v>
      </c>
      <c r="F35" s="1"/>
    </row>
    <row r="36" spans="1:6" x14ac:dyDescent="0.2">
      <c r="B36" s="1">
        <v>110</v>
      </c>
      <c r="C36" t="s">
        <v>13</v>
      </c>
      <c r="F36" s="1"/>
    </row>
    <row r="37" spans="1:6" x14ac:dyDescent="0.2">
      <c r="B37" s="1">
        <v>111</v>
      </c>
      <c r="C37" t="s">
        <v>14</v>
      </c>
      <c r="F37" s="1"/>
    </row>
    <row r="38" spans="1:6" x14ac:dyDescent="0.2">
      <c r="B38" s="1">
        <v>112</v>
      </c>
      <c r="C38" t="s">
        <v>15</v>
      </c>
      <c r="F38" s="1"/>
    </row>
    <row r="39" spans="1:6" x14ac:dyDescent="0.2">
      <c r="B39" s="1">
        <v>113</v>
      </c>
      <c r="C39" t="s">
        <v>16</v>
      </c>
      <c r="F39" s="1"/>
    </row>
    <row r="40" spans="1:6" x14ac:dyDescent="0.2">
      <c r="B40" s="1">
        <v>114</v>
      </c>
      <c r="C40" t="s">
        <v>17</v>
      </c>
      <c r="F40" s="1"/>
    </row>
    <row r="41" spans="1:6" x14ac:dyDescent="0.2">
      <c r="B41" s="1">
        <v>115</v>
      </c>
      <c r="C41" t="s">
        <v>18</v>
      </c>
      <c r="F41" s="1"/>
    </row>
    <row r="42" spans="1:6" x14ac:dyDescent="0.2">
      <c r="B42" s="1">
        <v>116</v>
      </c>
      <c r="C42" t="s">
        <v>19</v>
      </c>
      <c r="F42" s="1"/>
    </row>
    <row r="43" spans="1:6" x14ac:dyDescent="0.2">
      <c r="B43" s="1">
        <v>117</v>
      </c>
      <c r="C43" t="s">
        <v>20</v>
      </c>
      <c r="F43" s="1"/>
    </row>
    <row r="44" spans="1:6" x14ac:dyDescent="0.2">
      <c r="B44" s="1">
        <v>118</v>
      </c>
      <c r="C44" t="s">
        <v>21</v>
      </c>
      <c r="F44" s="1"/>
    </row>
    <row r="45" spans="1:6" x14ac:dyDescent="0.2">
      <c r="B45" s="1">
        <v>119</v>
      </c>
      <c r="C45" t="s">
        <v>22</v>
      </c>
      <c r="F45" s="1"/>
    </row>
    <row r="46" spans="1:6" x14ac:dyDescent="0.2">
      <c r="B46" s="1">
        <v>120</v>
      </c>
      <c r="C46" t="s">
        <v>23</v>
      </c>
      <c r="F46" s="1"/>
    </row>
    <row r="47" spans="1:6" x14ac:dyDescent="0.2">
      <c r="A47" s="1"/>
    </row>
    <row r="48" spans="1:6" x14ac:dyDescent="0.2">
      <c r="A48" s="1"/>
    </row>
    <row r="50" spans="1:10" x14ac:dyDescent="0.2">
      <c r="A50" s="4" t="s">
        <v>78</v>
      </c>
      <c r="B50" s="4"/>
      <c r="C50" s="4"/>
      <c r="D50" s="4"/>
      <c r="E50" s="4"/>
      <c r="F50" s="4"/>
      <c r="G50" s="4"/>
      <c r="H50" s="4"/>
      <c r="I50" s="4"/>
      <c r="J50" s="4"/>
    </row>
    <row r="51" spans="1:10" x14ac:dyDescent="0.2">
      <c r="A51" s="11"/>
      <c r="B51" s="11"/>
      <c r="C51" s="11"/>
      <c r="D51" s="11"/>
      <c r="E51" s="11"/>
      <c r="F51" s="11"/>
      <c r="G51" s="11"/>
      <c r="H51" s="11"/>
      <c r="I51" s="11"/>
      <c r="J51" s="11"/>
    </row>
    <row r="52" spans="1:10" ht="15" x14ac:dyDescent="0.2">
      <c r="B52" s="5" t="s">
        <v>37</v>
      </c>
      <c r="C52" s="6" t="s">
        <v>51</v>
      </c>
    </row>
    <row r="53" spans="1:10" x14ac:dyDescent="0.2">
      <c r="B53">
        <v>1</v>
      </c>
      <c r="C53">
        <v>1.0629200000000001</v>
      </c>
    </row>
    <row r="54" spans="1:10" x14ac:dyDescent="0.2">
      <c r="B54">
        <v>2</v>
      </c>
      <c r="C54">
        <v>1.064889</v>
      </c>
    </row>
    <row r="55" spans="1:10" x14ac:dyDescent="0.2">
      <c r="B55">
        <v>3</v>
      </c>
      <c r="C55">
        <v>1.069491</v>
      </c>
    </row>
    <row r="56" spans="1:10" x14ac:dyDescent="0.2">
      <c r="B56">
        <v>4</v>
      </c>
      <c r="C56">
        <v>1.0708819999999999</v>
      </c>
    </row>
    <row r="57" spans="1:10" x14ac:dyDescent="0.2">
      <c r="B57">
        <v>5</v>
      </c>
      <c r="C57">
        <v>1.106112</v>
      </c>
    </row>
    <row r="58" spans="1:10" x14ac:dyDescent="0.2">
      <c r="B58">
        <v>6</v>
      </c>
      <c r="C58">
        <v>1.1229709999999999</v>
      </c>
    </row>
    <row r="59" spans="1:10" x14ac:dyDescent="0.2">
      <c r="B59">
        <v>7</v>
      </c>
      <c r="C59">
        <v>1.1528700000000001</v>
      </c>
    </row>
    <row r="60" spans="1:10" x14ac:dyDescent="0.2">
      <c r="B60">
        <v>8</v>
      </c>
      <c r="C60">
        <v>1.181608</v>
      </c>
    </row>
    <row r="61" spans="1:10" x14ac:dyDescent="0.2">
      <c r="B61">
        <v>9</v>
      </c>
      <c r="C61">
        <v>1.191249</v>
      </c>
    </row>
    <row r="62" spans="1:10" x14ac:dyDescent="0.2">
      <c r="B62">
        <v>10</v>
      </c>
      <c r="C62">
        <v>1.174939</v>
      </c>
    </row>
    <row r="63" spans="1:10" x14ac:dyDescent="0.2">
      <c r="B63">
        <v>11</v>
      </c>
      <c r="C63">
        <v>1.1745300000000001</v>
      </c>
    </row>
    <row r="64" spans="1:10" x14ac:dyDescent="0.2">
      <c r="B64">
        <v>12</v>
      </c>
      <c r="C64">
        <v>1.19095</v>
      </c>
    </row>
    <row r="68" spans="1:10" x14ac:dyDescent="0.2">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NewDat"/>
  <dimension ref="B2:I36"/>
  <sheetViews>
    <sheetView topLeftCell="A4" workbookViewId="0">
      <selection sqref="A1:XFD1048576"/>
    </sheetView>
  </sheetViews>
  <sheetFormatPr defaultRowHeight="12.75" x14ac:dyDescent="0.2"/>
  <cols>
    <col min="2" max="2" width="14.85546875" bestFit="1" customWidth="1"/>
    <col min="3" max="3" width="14" bestFit="1" customWidth="1"/>
    <col min="4" max="4" width="11.5703125" bestFit="1" customWidth="1"/>
    <col min="5" max="5" width="13.7109375" bestFit="1" customWidth="1"/>
    <col min="6" max="6" width="10.85546875" bestFit="1" customWidth="1"/>
    <col min="7" max="7" width="6.28515625" bestFit="1" customWidth="1"/>
    <col min="8" max="8" width="8" bestFit="1" customWidth="1"/>
    <col min="9" max="9" width="11" bestFit="1" customWidth="1"/>
  </cols>
  <sheetData>
    <row r="2" spans="2:9" x14ac:dyDescent="0.2">
      <c r="B2" t="s">
        <v>39</v>
      </c>
      <c r="C2" t="s">
        <v>29</v>
      </c>
    </row>
    <row r="4" spans="2:9" x14ac:dyDescent="0.2">
      <c r="B4" t="s">
        <v>2</v>
      </c>
      <c r="C4" t="s">
        <v>40</v>
      </c>
      <c r="D4" t="s">
        <v>87</v>
      </c>
      <c r="E4" t="s">
        <v>49</v>
      </c>
      <c r="F4" t="s">
        <v>52</v>
      </c>
      <c r="G4" t="s">
        <v>43</v>
      </c>
      <c r="H4" t="s">
        <v>41</v>
      </c>
      <c r="I4" t="s">
        <v>42</v>
      </c>
    </row>
    <row r="5" spans="2:9" x14ac:dyDescent="0.2">
      <c r="B5">
        <v>24030</v>
      </c>
      <c r="C5" s="27">
        <v>43375</v>
      </c>
      <c r="D5" t="s">
        <v>100</v>
      </c>
      <c r="E5">
        <v>8020</v>
      </c>
      <c r="F5">
        <v>101</v>
      </c>
      <c r="G5">
        <v>1</v>
      </c>
      <c r="H5">
        <v>130</v>
      </c>
      <c r="I5">
        <v>1560</v>
      </c>
    </row>
    <row r="6" spans="2:9" x14ac:dyDescent="0.2">
      <c r="B6">
        <v>24030</v>
      </c>
      <c r="C6" s="27">
        <v>43375</v>
      </c>
      <c r="D6" t="s">
        <v>101</v>
      </c>
      <c r="E6">
        <v>8020</v>
      </c>
      <c r="F6">
        <v>102</v>
      </c>
      <c r="H6">
        <v>30</v>
      </c>
      <c r="I6">
        <v>360</v>
      </c>
    </row>
    <row r="7" spans="2:9" x14ac:dyDescent="0.2">
      <c r="B7">
        <v>24030</v>
      </c>
      <c r="C7" s="27">
        <v>43375</v>
      </c>
      <c r="D7" t="s">
        <v>100</v>
      </c>
      <c r="E7">
        <v>8020</v>
      </c>
      <c r="F7">
        <v>106</v>
      </c>
      <c r="G7" t="s">
        <v>88</v>
      </c>
      <c r="H7">
        <v>60</v>
      </c>
      <c r="I7">
        <v>300</v>
      </c>
    </row>
    <row r="8" spans="2:9" x14ac:dyDescent="0.2">
      <c r="B8">
        <v>24030</v>
      </c>
      <c r="C8" s="27">
        <v>43375</v>
      </c>
      <c r="D8" t="s">
        <v>102</v>
      </c>
      <c r="E8">
        <v>8020</v>
      </c>
      <c r="F8">
        <v>108</v>
      </c>
      <c r="H8">
        <v>80</v>
      </c>
      <c r="I8">
        <v>2240</v>
      </c>
    </row>
    <row r="9" spans="2:9" x14ac:dyDescent="0.2">
      <c r="B9">
        <v>24031</v>
      </c>
      <c r="C9" s="27">
        <v>43381</v>
      </c>
      <c r="D9" t="s">
        <v>103</v>
      </c>
      <c r="E9">
        <v>8020</v>
      </c>
      <c r="F9">
        <v>101</v>
      </c>
      <c r="G9" t="s">
        <v>88</v>
      </c>
      <c r="H9">
        <v>100</v>
      </c>
      <c r="I9">
        <v>1200</v>
      </c>
    </row>
    <row r="10" spans="2:9" x14ac:dyDescent="0.2">
      <c r="B10">
        <v>24031</v>
      </c>
      <c r="C10" s="27">
        <v>43381</v>
      </c>
      <c r="D10" t="s">
        <v>104</v>
      </c>
      <c r="E10">
        <v>8020</v>
      </c>
      <c r="F10">
        <v>108</v>
      </c>
      <c r="G10" t="s">
        <v>88</v>
      </c>
      <c r="H10">
        <v>20</v>
      </c>
      <c r="I10">
        <v>560</v>
      </c>
    </row>
    <row r="11" spans="2:9" x14ac:dyDescent="0.2">
      <c r="B11">
        <v>24031</v>
      </c>
      <c r="C11" s="27">
        <v>43381</v>
      </c>
      <c r="D11" t="s">
        <v>105</v>
      </c>
      <c r="E11">
        <v>8020</v>
      </c>
      <c r="F11">
        <v>113</v>
      </c>
      <c r="G11" t="s">
        <v>88</v>
      </c>
      <c r="H11">
        <v>100</v>
      </c>
      <c r="I11">
        <v>2500</v>
      </c>
    </row>
    <row r="12" spans="2:9" x14ac:dyDescent="0.2">
      <c r="B12">
        <v>28112</v>
      </c>
      <c r="C12" s="27">
        <v>43385</v>
      </c>
      <c r="D12" t="s">
        <v>106</v>
      </c>
      <c r="E12">
        <v>8020</v>
      </c>
      <c r="F12">
        <v>114</v>
      </c>
      <c r="G12">
        <v>1</v>
      </c>
      <c r="H12">
        <v>50</v>
      </c>
      <c r="I12">
        <v>1250</v>
      </c>
    </row>
    <row r="13" spans="2:9" x14ac:dyDescent="0.2">
      <c r="B13">
        <v>28112</v>
      </c>
      <c r="C13" s="27">
        <v>43385</v>
      </c>
      <c r="D13" t="s">
        <v>100</v>
      </c>
      <c r="E13">
        <v>8020</v>
      </c>
      <c r="F13">
        <v>101</v>
      </c>
      <c r="G13" t="s">
        <v>88</v>
      </c>
      <c r="H13">
        <v>40</v>
      </c>
      <c r="I13">
        <v>480</v>
      </c>
    </row>
    <row r="14" spans="2:9" x14ac:dyDescent="0.2">
      <c r="B14">
        <v>28112</v>
      </c>
      <c r="C14" s="27">
        <v>43385</v>
      </c>
      <c r="D14" t="s">
        <v>106</v>
      </c>
      <c r="E14">
        <v>8020</v>
      </c>
      <c r="F14">
        <v>102</v>
      </c>
      <c r="H14">
        <v>70</v>
      </c>
      <c r="I14">
        <v>840</v>
      </c>
    </row>
    <row r="15" spans="2:9" x14ac:dyDescent="0.2">
      <c r="B15">
        <v>28112</v>
      </c>
      <c r="C15" s="27">
        <v>43385</v>
      </c>
      <c r="D15" t="s">
        <v>105</v>
      </c>
      <c r="E15">
        <v>8020</v>
      </c>
      <c r="F15">
        <v>106</v>
      </c>
      <c r="H15">
        <v>70</v>
      </c>
      <c r="I15">
        <v>350</v>
      </c>
    </row>
    <row r="16" spans="2:9" x14ac:dyDescent="0.2">
      <c r="B16">
        <v>28112</v>
      </c>
      <c r="C16" s="27">
        <v>43385</v>
      </c>
      <c r="D16" t="s">
        <v>102</v>
      </c>
      <c r="E16">
        <v>8020</v>
      </c>
      <c r="F16">
        <v>108</v>
      </c>
      <c r="H16">
        <v>10</v>
      </c>
      <c r="I16">
        <v>280</v>
      </c>
    </row>
    <row r="17" spans="2:9" x14ac:dyDescent="0.2">
      <c r="B17">
        <v>28112</v>
      </c>
      <c r="C17" s="27">
        <v>43385</v>
      </c>
      <c r="D17" t="s">
        <v>104</v>
      </c>
      <c r="E17">
        <v>8020</v>
      </c>
      <c r="F17">
        <v>117</v>
      </c>
      <c r="H17">
        <v>80</v>
      </c>
      <c r="I17">
        <v>1440</v>
      </c>
    </row>
    <row r="18" spans="2:9" x14ac:dyDescent="0.2">
      <c r="B18">
        <v>28112</v>
      </c>
      <c r="C18" s="27">
        <v>43385</v>
      </c>
      <c r="D18" t="s">
        <v>103</v>
      </c>
      <c r="E18">
        <v>8020</v>
      </c>
      <c r="F18">
        <v>118</v>
      </c>
      <c r="H18">
        <v>70</v>
      </c>
      <c r="I18">
        <v>1260</v>
      </c>
    </row>
    <row r="19" spans="2:9" x14ac:dyDescent="0.2">
      <c r="B19">
        <v>25442</v>
      </c>
      <c r="C19" s="27">
        <v>43389</v>
      </c>
      <c r="D19" t="s">
        <v>104</v>
      </c>
      <c r="E19">
        <v>8010</v>
      </c>
      <c r="F19">
        <v>118</v>
      </c>
      <c r="H19">
        <v>70</v>
      </c>
      <c r="I19">
        <v>1260</v>
      </c>
    </row>
    <row r="20" spans="2:9" x14ac:dyDescent="0.2">
      <c r="B20">
        <v>25442</v>
      </c>
      <c r="C20" s="27">
        <v>43389</v>
      </c>
      <c r="D20" t="s">
        <v>107</v>
      </c>
      <c r="E20">
        <v>8010</v>
      </c>
      <c r="F20">
        <v>117</v>
      </c>
      <c r="G20">
        <v>6</v>
      </c>
      <c r="H20">
        <v>80</v>
      </c>
      <c r="I20">
        <v>1440</v>
      </c>
    </row>
    <row r="21" spans="2:9" x14ac:dyDescent="0.2">
      <c r="B21">
        <v>25442</v>
      </c>
      <c r="C21" s="27">
        <v>43389</v>
      </c>
      <c r="D21" t="s">
        <v>107</v>
      </c>
      <c r="E21">
        <v>8010</v>
      </c>
      <c r="F21">
        <v>118</v>
      </c>
      <c r="H21">
        <v>70</v>
      </c>
      <c r="I21">
        <v>1260</v>
      </c>
    </row>
    <row r="22" spans="2:9" x14ac:dyDescent="0.2">
      <c r="B22">
        <v>25442</v>
      </c>
      <c r="C22" s="27">
        <v>43389</v>
      </c>
      <c r="D22" t="s">
        <v>106</v>
      </c>
      <c r="E22">
        <v>8010</v>
      </c>
      <c r="F22">
        <v>116</v>
      </c>
      <c r="G22">
        <v>1</v>
      </c>
      <c r="H22">
        <v>60</v>
      </c>
      <c r="I22">
        <v>360</v>
      </c>
    </row>
    <row r="23" spans="2:9" x14ac:dyDescent="0.2">
      <c r="B23">
        <v>25442</v>
      </c>
      <c r="C23" s="27">
        <v>43389</v>
      </c>
      <c r="D23" t="s">
        <v>100</v>
      </c>
      <c r="E23">
        <v>8010</v>
      </c>
      <c r="F23">
        <v>106</v>
      </c>
      <c r="H23">
        <v>20</v>
      </c>
      <c r="I23">
        <v>100</v>
      </c>
    </row>
    <row r="24" spans="2:9" x14ac:dyDescent="0.2">
      <c r="B24">
        <v>25442</v>
      </c>
      <c r="C24" s="27">
        <v>43389</v>
      </c>
      <c r="D24" t="s">
        <v>102</v>
      </c>
      <c r="E24">
        <v>8010</v>
      </c>
      <c r="F24">
        <v>101</v>
      </c>
      <c r="H24">
        <v>40</v>
      </c>
      <c r="I24">
        <v>480</v>
      </c>
    </row>
    <row r="25" spans="2:9" x14ac:dyDescent="0.2">
      <c r="B25">
        <v>25442</v>
      </c>
      <c r="C25" s="27">
        <v>43389</v>
      </c>
      <c r="D25" t="s">
        <v>101</v>
      </c>
      <c r="E25">
        <v>8010</v>
      </c>
      <c r="F25">
        <v>102</v>
      </c>
      <c r="H25">
        <v>10</v>
      </c>
      <c r="I25">
        <v>120</v>
      </c>
    </row>
    <row r="26" spans="2:9" x14ac:dyDescent="0.2">
      <c r="C26" s="27"/>
    </row>
    <row r="27" spans="2:9" x14ac:dyDescent="0.2">
      <c r="C27" s="27"/>
    </row>
    <row r="28" spans="2:9" x14ac:dyDescent="0.2">
      <c r="C28" s="27"/>
    </row>
    <row r="29" spans="2:9" x14ac:dyDescent="0.2">
      <c r="C29" s="27"/>
    </row>
    <row r="30" spans="2:9" x14ac:dyDescent="0.2">
      <c r="C30" s="27"/>
    </row>
    <row r="31" spans="2:9" x14ac:dyDescent="0.2">
      <c r="C31" s="27"/>
    </row>
    <row r="32" spans="2:9" x14ac:dyDescent="0.2">
      <c r="C32" s="27"/>
    </row>
    <row r="33" spans="3:3" x14ac:dyDescent="0.2">
      <c r="C33" s="27"/>
    </row>
    <row r="34" spans="3:3" x14ac:dyDescent="0.2">
      <c r="C34" s="27"/>
    </row>
    <row r="35" spans="3:3" x14ac:dyDescent="0.2">
      <c r="C35" s="27"/>
    </row>
    <row r="36" spans="3:3" x14ac:dyDescent="0.2">
      <c r="C36" s="2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tint="0.39997558519241921"/>
  </sheetPr>
  <dimension ref="A1:P55"/>
  <sheetViews>
    <sheetView workbookViewId="0">
      <selection activeCell="C1" sqref="C1"/>
    </sheetView>
  </sheetViews>
  <sheetFormatPr defaultColWidth="0" defaultRowHeight="12.75" zeroHeight="1" x14ac:dyDescent="0.2"/>
  <cols>
    <col min="1" max="1" width="1.42578125" style="18" customWidth="1"/>
    <col min="2" max="2" width="3.140625" style="18" customWidth="1"/>
    <col min="3" max="13" width="9.140625" style="18" customWidth="1"/>
    <col min="14" max="14" width="12.5703125" style="18" customWidth="1"/>
    <col min="15" max="15" width="2.28515625" style="18" customWidth="1"/>
    <col min="16" max="16" width="2.5703125" style="18" customWidth="1"/>
    <col min="17" max="16384" width="9" hidden="1"/>
  </cols>
  <sheetData>
    <row r="1" spans="1:16" x14ac:dyDescent="0.2">
      <c r="A1" s="13"/>
      <c r="B1" s="13"/>
      <c r="C1" s="13"/>
      <c r="D1" s="13"/>
      <c r="E1" s="13"/>
      <c r="F1" s="13"/>
      <c r="G1" s="13"/>
      <c r="H1" s="13"/>
      <c r="I1" s="13"/>
      <c r="J1" s="13"/>
      <c r="K1" s="13"/>
      <c r="L1" s="13"/>
      <c r="M1" s="13"/>
      <c r="N1" s="13"/>
      <c r="O1" s="13"/>
      <c r="P1" s="13"/>
    </row>
    <row r="2" spans="1:16" x14ac:dyDescent="0.2">
      <c r="A2" s="13"/>
      <c r="B2" s="13"/>
      <c r="C2" s="13"/>
      <c r="D2" s="13"/>
      <c r="E2" s="13"/>
      <c r="F2" s="13"/>
      <c r="G2" s="13"/>
      <c r="H2" s="13"/>
      <c r="I2" s="13"/>
      <c r="J2" s="13"/>
      <c r="K2" s="13"/>
      <c r="L2" s="13"/>
      <c r="M2" s="13"/>
      <c r="N2" s="13"/>
      <c r="O2" s="13"/>
      <c r="P2" s="13"/>
    </row>
    <row r="3" spans="1:16" x14ac:dyDescent="0.2">
      <c r="A3" s="13"/>
      <c r="B3" s="13"/>
      <c r="C3" s="13"/>
      <c r="D3" s="13"/>
      <c r="E3" s="13"/>
      <c r="F3" s="13"/>
      <c r="G3" s="13"/>
      <c r="H3" s="13"/>
      <c r="I3" s="13"/>
      <c r="J3" s="13"/>
      <c r="K3" s="13"/>
      <c r="L3" s="13"/>
      <c r="M3" s="13"/>
      <c r="N3" s="13"/>
      <c r="O3" s="13"/>
      <c r="P3" s="13"/>
    </row>
    <row r="4" spans="1:16" x14ac:dyDescent="0.2">
      <c r="A4" s="13"/>
      <c r="B4" s="14"/>
      <c r="C4" s="14"/>
      <c r="D4" s="14"/>
      <c r="E4" s="14"/>
      <c r="F4" s="14"/>
      <c r="G4" s="14"/>
      <c r="H4" s="14"/>
      <c r="I4" s="14"/>
      <c r="J4" s="14"/>
      <c r="K4" s="14"/>
      <c r="L4" s="14"/>
      <c r="M4" s="14"/>
      <c r="N4" s="14"/>
      <c r="O4" s="13"/>
      <c r="P4" s="13"/>
    </row>
    <row r="5" spans="1:16" ht="18" x14ac:dyDescent="0.25">
      <c r="A5" s="13"/>
      <c r="B5" s="15"/>
      <c r="C5" s="16" t="s">
        <v>68</v>
      </c>
      <c r="D5" s="17"/>
      <c r="E5" s="17"/>
      <c r="F5" s="17"/>
      <c r="G5" s="17"/>
      <c r="H5" s="17"/>
      <c r="I5" s="17"/>
      <c r="J5" s="17"/>
      <c r="K5" s="17"/>
      <c r="L5" s="17"/>
      <c r="M5" s="17"/>
      <c r="N5" s="17"/>
      <c r="O5" s="13"/>
      <c r="P5" s="13"/>
    </row>
    <row r="6" spans="1:16" x14ac:dyDescent="0.2">
      <c r="A6" s="13"/>
      <c r="B6" s="17"/>
      <c r="C6" s="17"/>
      <c r="D6" s="17"/>
      <c r="E6" s="17"/>
      <c r="F6" s="17"/>
      <c r="G6" s="17"/>
      <c r="H6" s="17"/>
      <c r="I6" s="17"/>
      <c r="J6" s="17"/>
      <c r="K6" s="17"/>
      <c r="L6" s="17"/>
      <c r="M6" s="17"/>
      <c r="N6" s="17"/>
      <c r="O6" s="13"/>
      <c r="P6" s="13"/>
    </row>
    <row r="7" spans="1:16" x14ac:dyDescent="0.2">
      <c r="A7" s="13"/>
      <c r="B7" s="17"/>
      <c r="C7" s="21" t="s">
        <v>74</v>
      </c>
      <c r="D7" s="17"/>
      <c r="E7" s="17"/>
      <c r="F7" s="17"/>
      <c r="G7" s="17"/>
      <c r="H7" s="17"/>
      <c r="I7" s="17"/>
      <c r="J7" s="17"/>
      <c r="K7" s="17"/>
      <c r="L7" s="17"/>
      <c r="M7" s="17"/>
      <c r="N7" s="17"/>
      <c r="O7" s="13"/>
      <c r="P7" s="13"/>
    </row>
    <row r="8" spans="1:16" x14ac:dyDescent="0.2">
      <c r="A8" s="13"/>
      <c r="B8" s="17"/>
      <c r="C8" s="21" t="s">
        <v>75</v>
      </c>
      <c r="D8" s="17"/>
      <c r="E8" s="17"/>
      <c r="F8" s="17"/>
      <c r="G8" s="17"/>
      <c r="H8" s="17"/>
      <c r="I8" s="17"/>
      <c r="J8" s="17"/>
      <c r="K8" s="17"/>
      <c r="L8" s="17"/>
      <c r="M8" s="17"/>
      <c r="N8" s="17"/>
      <c r="O8" s="13"/>
      <c r="P8" s="13"/>
    </row>
    <row r="9" spans="1:16" x14ac:dyDescent="0.2">
      <c r="A9" s="13"/>
      <c r="B9" s="17"/>
      <c r="C9" s="21" t="s">
        <v>76</v>
      </c>
      <c r="D9" s="17"/>
      <c r="E9" s="17"/>
      <c r="F9" s="17"/>
      <c r="G9" s="17"/>
      <c r="H9" s="17"/>
      <c r="I9" s="17"/>
      <c r="J9" s="17"/>
      <c r="K9" s="17"/>
      <c r="L9" s="17"/>
      <c r="M9" s="17"/>
      <c r="N9" s="17"/>
      <c r="O9" s="13"/>
      <c r="P9" s="13"/>
    </row>
    <row r="10" spans="1:16" x14ac:dyDescent="0.2">
      <c r="A10" s="13"/>
      <c r="B10" s="17"/>
      <c r="C10" s="21" t="s">
        <v>80</v>
      </c>
      <c r="D10" s="17"/>
      <c r="E10" s="17"/>
      <c r="F10" s="17"/>
      <c r="G10" s="17"/>
      <c r="H10" s="17"/>
      <c r="I10" s="17"/>
      <c r="J10" s="17"/>
      <c r="K10" s="17"/>
      <c r="L10" s="17"/>
      <c r="M10" s="17"/>
      <c r="N10" s="17"/>
      <c r="O10" s="13"/>
      <c r="P10" s="13"/>
    </row>
    <row r="11" spans="1:16" x14ac:dyDescent="0.2">
      <c r="A11" s="13"/>
      <c r="B11" s="17"/>
      <c r="C11" s="23" t="s">
        <v>62</v>
      </c>
      <c r="D11" s="17"/>
      <c r="E11" s="17"/>
      <c r="F11" s="17"/>
      <c r="G11" s="17"/>
      <c r="H11" s="17"/>
      <c r="I11" s="17"/>
      <c r="J11" s="17"/>
      <c r="K11" s="17"/>
      <c r="L11" s="17"/>
      <c r="M11" s="17"/>
      <c r="N11" s="17"/>
      <c r="O11" s="13"/>
      <c r="P11" s="13"/>
    </row>
    <row r="12" spans="1:16" x14ac:dyDescent="0.2">
      <c r="A12" s="13"/>
      <c r="B12" s="17"/>
      <c r="C12" s="23" t="s">
        <v>79</v>
      </c>
      <c r="D12" s="17"/>
      <c r="E12" s="17"/>
      <c r="F12" s="17"/>
      <c r="G12" s="17"/>
      <c r="H12" s="17"/>
      <c r="I12" s="17"/>
      <c r="J12" s="17"/>
      <c r="K12" s="17"/>
      <c r="L12" s="17"/>
      <c r="M12" s="17"/>
      <c r="N12" s="17"/>
      <c r="O12" s="13"/>
      <c r="P12" s="13"/>
    </row>
    <row r="13" spans="1:16" x14ac:dyDescent="0.2">
      <c r="A13" s="13"/>
      <c r="B13" s="17"/>
      <c r="C13" s="17"/>
      <c r="D13" s="17"/>
      <c r="E13" s="17"/>
      <c r="F13" s="17"/>
      <c r="G13" s="17"/>
      <c r="H13" s="17"/>
      <c r="I13" s="17"/>
      <c r="J13" s="17"/>
      <c r="K13" s="17"/>
      <c r="L13" s="17"/>
      <c r="M13" s="17"/>
      <c r="N13" s="17"/>
      <c r="O13" s="13"/>
      <c r="P13" s="13"/>
    </row>
    <row r="14" spans="1:16" ht="18" x14ac:dyDescent="0.25">
      <c r="A14" s="13"/>
      <c r="B14" s="17"/>
      <c r="C14" s="16" t="s">
        <v>57</v>
      </c>
      <c r="D14" s="17"/>
      <c r="E14" s="17"/>
      <c r="F14" s="17"/>
      <c r="G14" s="17"/>
      <c r="H14" s="17"/>
      <c r="I14" s="17"/>
      <c r="J14" s="17"/>
      <c r="K14" s="17"/>
      <c r="L14" s="17"/>
      <c r="M14" s="17"/>
      <c r="N14" s="17"/>
      <c r="O14" s="13"/>
      <c r="P14" s="13"/>
    </row>
    <row r="15" spans="1:16" x14ac:dyDescent="0.2">
      <c r="A15" s="13"/>
      <c r="B15" s="17"/>
      <c r="C15" s="17"/>
      <c r="D15" s="17"/>
      <c r="E15" s="17"/>
      <c r="F15" s="17"/>
      <c r="G15" s="17"/>
      <c r="H15" s="17"/>
      <c r="I15" s="17"/>
      <c r="J15" s="17"/>
      <c r="K15" s="17"/>
      <c r="L15" s="17"/>
      <c r="M15" s="17"/>
      <c r="N15" s="17"/>
      <c r="O15" s="13"/>
      <c r="P15" s="13"/>
    </row>
    <row r="16" spans="1:16" x14ac:dyDescent="0.2">
      <c r="A16" s="13"/>
      <c r="B16" s="17"/>
      <c r="C16" s="17" t="s">
        <v>77</v>
      </c>
      <c r="D16" s="17"/>
      <c r="E16" s="17"/>
      <c r="F16" s="17"/>
      <c r="G16" s="17"/>
      <c r="H16" s="17"/>
      <c r="I16" s="17"/>
      <c r="J16" s="17"/>
      <c r="K16" s="17"/>
      <c r="L16" s="17"/>
      <c r="M16" s="17"/>
      <c r="N16" s="17"/>
      <c r="O16" s="13"/>
      <c r="P16" s="13"/>
    </row>
    <row r="17" spans="1:16" x14ac:dyDescent="0.2">
      <c r="A17" s="13"/>
      <c r="B17" s="17"/>
      <c r="C17" s="17" t="s">
        <v>63</v>
      </c>
      <c r="D17" s="17"/>
      <c r="E17" s="17"/>
      <c r="F17" s="17"/>
      <c r="G17" s="17"/>
      <c r="H17" s="17"/>
      <c r="I17" s="17"/>
      <c r="J17" s="17"/>
      <c r="K17" s="17"/>
      <c r="L17" s="17"/>
      <c r="M17" s="17"/>
      <c r="N17" s="17"/>
      <c r="O17" s="13"/>
      <c r="P17" s="13"/>
    </row>
    <row r="18" spans="1:16" x14ac:dyDescent="0.2">
      <c r="A18" s="13"/>
      <c r="B18" s="19"/>
      <c r="C18" s="17" t="s">
        <v>64</v>
      </c>
      <c r="D18" s="19"/>
      <c r="E18" s="19"/>
      <c r="F18" s="19"/>
      <c r="G18" s="17"/>
      <c r="H18" s="17"/>
      <c r="I18" s="17"/>
      <c r="J18" s="17"/>
      <c r="K18" s="17"/>
      <c r="L18" s="17"/>
      <c r="M18" s="17"/>
      <c r="N18" s="17"/>
      <c r="O18" s="13"/>
      <c r="P18" s="13"/>
    </row>
    <row r="19" spans="1:16" x14ac:dyDescent="0.2">
      <c r="A19" s="13"/>
      <c r="B19" s="14"/>
      <c r="C19" s="17" t="s">
        <v>67</v>
      </c>
      <c r="D19" s="20"/>
      <c r="E19" s="14"/>
      <c r="F19" s="14"/>
      <c r="G19" s="17"/>
      <c r="H19" s="17"/>
      <c r="I19" s="17"/>
      <c r="J19" s="17"/>
      <c r="K19" s="17"/>
      <c r="L19" s="17"/>
      <c r="M19" s="17"/>
      <c r="N19" s="17"/>
      <c r="O19" s="13"/>
      <c r="P19" s="13"/>
    </row>
    <row r="20" spans="1:16" x14ac:dyDescent="0.2">
      <c r="A20" s="13"/>
      <c r="B20" s="17"/>
      <c r="C20" s="17" t="s">
        <v>66</v>
      </c>
      <c r="D20" s="21"/>
      <c r="E20" s="17"/>
      <c r="F20" s="17"/>
      <c r="G20" s="17"/>
      <c r="H20" s="17"/>
      <c r="I20" s="17"/>
      <c r="J20" s="17"/>
      <c r="K20" s="17"/>
      <c r="L20" s="17"/>
      <c r="M20" s="17"/>
      <c r="N20" s="17"/>
      <c r="O20" s="13"/>
      <c r="P20" s="13"/>
    </row>
    <row r="21" spans="1:16" x14ac:dyDescent="0.2">
      <c r="A21" s="13"/>
      <c r="B21" s="17"/>
      <c r="C21" s="17" t="s">
        <v>65</v>
      </c>
      <c r="D21" s="17"/>
      <c r="E21" s="17"/>
      <c r="F21" s="17"/>
      <c r="G21" s="17"/>
      <c r="H21" s="17"/>
      <c r="I21" s="17"/>
      <c r="J21" s="17"/>
      <c r="K21" s="17"/>
      <c r="L21" s="17"/>
      <c r="M21" s="17"/>
      <c r="N21" s="17"/>
      <c r="O21" s="13"/>
      <c r="P21" s="13"/>
    </row>
    <row r="22" spans="1:16" x14ac:dyDescent="0.2">
      <c r="A22" s="13"/>
      <c r="B22" s="17"/>
      <c r="C22" s="17"/>
      <c r="D22" s="17"/>
      <c r="E22" s="17"/>
      <c r="F22" s="17"/>
      <c r="G22" s="17"/>
      <c r="H22" s="17"/>
      <c r="I22" s="17"/>
      <c r="J22" s="17"/>
      <c r="K22" s="17"/>
      <c r="L22" s="17"/>
      <c r="M22" s="17"/>
      <c r="N22" s="17"/>
      <c r="O22" s="13"/>
      <c r="P22" s="13"/>
    </row>
    <row r="23" spans="1:16" x14ac:dyDescent="0.2">
      <c r="A23" s="13"/>
      <c r="B23" s="17"/>
      <c r="C23" s="17"/>
      <c r="D23" s="17"/>
      <c r="E23" s="17"/>
      <c r="F23" s="17"/>
      <c r="G23" s="17"/>
      <c r="H23" s="17"/>
      <c r="I23" s="17"/>
      <c r="J23" s="17"/>
      <c r="K23" s="17"/>
      <c r="L23" s="17"/>
      <c r="M23" s="17"/>
      <c r="N23" s="17"/>
      <c r="O23" s="13"/>
      <c r="P23" s="13"/>
    </row>
    <row r="24" spans="1:16" ht="18" x14ac:dyDescent="0.25">
      <c r="A24" s="13"/>
      <c r="B24" s="17"/>
      <c r="C24" s="16" t="s">
        <v>56</v>
      </c>
      <c r="D24" s="21"/>
      <c r="E24" s="17"/>
      <c r="F24" s="17"/>
      <c r="G24" s="17"/>
      <c r="H24" s="17"/>
      <c r="I24" s="17"/>
      <c r="J24" s="17"/>
      <c r="K24" s="17"/>
      <c r="L24" s="17"/>
      <c r="M24" s="17"/>
      <c r="N24" s="17"/>
      <c r="O24" s="13"/>
      <c r="P24" s="13"/>
    </row>
    <row r="25" spans="1:16" x14ac:dyDescent="0.2">
      <c r="A25" s="13"/>
      <c r="B25" s="17"/>
      <c r="C25" s="17"/>
      <c r="D25" s="21"/>
      <c r="E25" s="17"/>
      <c r="F25" s="17"/>
      <c r="G25" s="17"/>
      <c r="H25" s="17"/>
      <c r="I25" s="17"/>
      <c r="J25" s="17"/>
      <c r="K25" s="17"/>
      <c r="L25" s="17"/>
      <c r="M25" s="17"/>
      <c r="N25" s="17"/>
      <c r="O25" s="13"/>
      <c r="P25" s="13"/>
    </row>
    <row r="26" spans="1:16" x14ac:dyDescent="0.2">
      <c r="A26" s="13"/>
      <c r="B26" s="17"/>
      <c r="C26" s="17" t="s">
        <v>69</v>
      </c>
      <c r="D26" s="17"/>
      <c r="E26" s="17"/>
      <c r="F26" s="17"/>
      <c r="G26" s="17"/>
      <c r="H26" s="17"/>
      <c r="I26" s="17"/>
      <c r="J26" s="17"/>
      <c r="K26" s="17"/>
      <c r="L26" s="17"/>
      <c r="M26" s="17"/>
      <c r="N26" s="17"/>
      <c r="O26" s="13"/>
      <c r="P26" s="13"/>
    </row>
    <row r="27" spans="1:16" x14ac:dyDescent="0.2">
      <c r="A27" s="13"/>
      <c r="B27" s="17"/>
      <c r="C27" s="17" t="s">
        <v>85</v>
      </c>
      <c r="D27" s="17"/>
      <c r="E27" s="17"/>
      <c r="F27" s="17"/>
      <c r="G27" s="17"/>
      <c r="H27" s="17"/>
      <c r="I27" s="17"/>
      <c r="J27" s="17"/>
      <c r="K27" s="17"/>
      <c r="L27" s="17"/>
      <c r="M27" s="17"/>
      <c r="N27" s="17"/>
      <c r="O27" s="13"/>
      <c r="P27" s="13"/>
    </row>
    <row r="28" spans="1:16" x14ac:dyDescent="0.2">
      <c r="A28" s="13"/>
      <c r="B28" s="17"/>
      <c r="C28" s="18" t="s">
        <v>86</v>
      </c>
      <c r="D28" s="17"/>
      <c r="E28" s="17"/>
      <c r="F28" s="17"/>
      <c r="G28" s="17"/>
      <c r="H28" s="17"/>
      <c r="I28" s="17"/>
      <c r="J28" s="17"/>
      <c r="K28" s="17"/>
      <c r="L28" s="17"/>
      <c r="M28" s="17"/>
      <c r="N28" s="17"/>
      <c r="O28" s="13"/>
      <c r="P28" s="13"/>
    </row>
    <row r="29" spans="1:16" x14ac:dyDescent="0.2">
      <c r="A29" s="13"/>
      <c r="B29" s="17"/>
      <c r="C29" s="17" t="s">
        <v>71</v>
      </c>
      <c r="D29" s="17"/>
      <c r="E29" s="17"/>
      <c r="F29" s="17"/>
      <c r="G29" s="17"/>
      <c r="H29" s="17"/>
      <c r="I29" s="17"/>
      <c r="J29" s="17"/>
      <c r="K29" s="17"/>
      <c r="L29" s="17"/>
      <c r="M29" s="17"/>
      <c r="N29" s="17"/>
      <c r="O29" s="13"/>
      <c r="P29" s="13"/>
    </row>
    <row r="30" spans="1:16" x14ac:dyDescent="0.2">
      <c r="A30" s="13"/>
      <c r="B30" s="17"/>
      <c r="D30" s="17"/>
      <c r="E30" s="17"/>
      <c r="F30" s="17"/>
      <c r="G30" s="17"/>
      <c r="H30" s="17"/>
      <c r="I30" s="17"/>
      <c r="J30" s="17"/>
      <c r="K30" s="17"/>
      <c r="L30" s="17"/>
      <c r="M30" s="17"/>
      <c r="N30" s="17"/>
      <c r="O30" s="13"/>
      <c r="P30" s="13"/>
    </row>
    <row r="31" spans="1:16" x14ac:dyDescent="0.2">
      <c r="A31" s="13"/>
      <c r="B31" s="17"/>
      <c r="C31" s="19"/>
      <c r="D31" s="17"/>
      <c r="E31" s="17"/>
      <c r="F31" s="17"/>
      <c r="G31" s="17"/>
      <c r="H31" s="17"/>
      <c r="I31" s="17"/>
      <c r="J31" s="17"/>
      <c r="K31" s="17"/>
      <c r="L31" s="17"/>
      <c r="M31" s="17"/>
      <c r="N31" s="17"/>
      <c r="O31" s="13"/>
      <c r="P31" s="13"/>
    </row>
    <row r="32" spans="1:16" x14ac:dyDescent="0.2">
      <c r="A32" s="13"/>
      <c r="B32" s="17"/>
      <c r="C32" s="24" t="s">
        <v>70</v>
      </c>
      <c r="D32" s="17"/>
      <c r="E32" s="17"/>
      <c r="F32" s="17"/>
      <c r="G32" s="17"/>
      <c r="H32" s="17"/>
      <c r="I32" s="17"/>
      <c r="J32" s="17"/>
      <c r="K32" s="17"/>
      <c r="L32" s="17"/>
      <c r="M32" s="17"/>
      <c r="N32" s="17"/>
      <c r="O32" s="13"/>
      <c r="P32" s="13"/>
    </row>
    <row r="33" spans="1:16" x14ac:dyDescent="0.2">
      <c r="A33" s="13"/>
      <c r="B33" s="17"/>
      <c r="C33" s="17"/>
      <c r="D33" s="17"/>
      <c r="E33" s="17"/>
      <c r="F33" s="17"/>
      <c r="G33" s="17"/>
      <c r="H33" s="17"/>
      <c r="I33" s="17"/>
      <c r="J33" s="17"/>
      <c r="K33" s="17"/>
      <c r="L33" s="17"/>
      <c r="M33" s="17"/>
      <c r="N33" s="17"/>
      <c r="O33" s="13"/>
      <c r="P33" s="13"/>
    </row>
    <row r="34" spans="1:16" ht="14.25" x14ac:dyDescent="0.2">
      <c r="A34" s="13"/>
      <c r="B34" s="17"/>
      <c r="C34" s="26" t="s">
        <v>84</v>
      </c>
      <c r="D34" s="17"/>
      <c r="E34" s="17"/>
      <c r="F34" s="17"/>
      <c r="G34" s="17"/>
      <c r="H34" s="17"/>
      <c r="I34" s="17"/>
      <c r="J34" s="17"/>
      <c r="K34" s="17"/>
      <c r="L34" s="17"/>
      <c r="M34" s="17"/>
      <c r="N34" s="17"/>
      <c r="O34" s="13"/>
      <c r="P34" s="13"/>
    </row>
    <row r="35" spans="1:16" ht="14.25" x14ac:dyDescent="0.2">
      <c r="A35" s="13"/>
      <c r="B35" s="17"/>
      <c r="C35" s="25" t="s">
        <v>73</v>
      </c>
      <c r="D35" s="17"/>
      <c r="E35" s="17"/>
      <c r="F35" s="17"/>
      <c r="G35" s="17"/>
      <c r="H35" s="17"/>
      <c r="I35" s="17"/>
      <c r="J35" s="17"/>
      <c r="K35" s="17"/>
      <c r="L35" s="17"/>
      <c r="M35" s="17"/>
      <c r="N35" s="17"/>
      <c r="O35" s="13"/>
      <c r="P35" s="13"/>
    </row>
    <row r="36" spans="1:16" ht="14.25" x14ac:dyDescent="0.2">
      <c r="A36" s="13"/>
      <c r="B36" s="17"/>
      <c r="C36" s="25" t="s">
        <v>72</v>
      </c>
      <c r="D36" s="21"/>
      <c r="E36" s="17"/>
      <c r="F36" s="17"/>
      <c r="G36" s="17"/>
      <c r="H36" s="17"/>
      <c r="I36" s="17"/>
      <c r="J36" s="17"/>
      <c r="K36" s="17"/>
      <c r="L36" s="17"/>
      <c r="M36" s="17"/>
      <c r="N36" s="17"/>
      <c r="O36" s="13"/>
      <c r="P36" s="13"/>
    </row>
    <row r="37" spans="1:16" x14ac:dyDescent="0.2">
      <c r="A37" s="13"/>
      <c r="B37" s="17"/>
      <c r="C37" s="17"/>
      <c r="D37" s="21"/>
      <c r="E37" s="17"/>
      <c r="F37" s="17"/>
      <c r="G37" s="17"/>
      <c r="H37" s="17"/>
      <c r="I37" s="17"/>
      <c r="J37" s="17"/>
      <c r="K37" s="17"/>
      <c r="L37" s="17"/>
      <c r="M37" s="17"/>
      <c r="N37" s="17"/>
      <c r="O37" s="13"/>
      <c r="P37" s="13"/>
    </row>
    <row r="38" spans="1:16" x14ac:dyDescent="0.2">
      <c r="A38" s="13"/>
      <c r="B38" s="17"/>
      <c r="C38" s="17"/>
      <c r="D38" s="17"/>
      <c r="E38" s="17"/>
      <c r="F38" s="17"/>
      <c r="G38" s="17"/>
      <c r="H38" s="17"/>
      <c r="I38" s="17"/>
      <c r="J38" s="17"/>
      <c r="K38" s="17"/>
      <c r="L38" s="17"/>
      <c r="M38" s="17"/>
      <c r="N38" s="17"/>
      <c r="O38" s="13"/>
      <c r="P38" s="13"/>
    </row>
    <row r="39" spans="1:16" x14ac:dyDescent="0.2">
      <c r="A39" s="13"/>
      <c r="B39" s="17"/>
      <c r="C39" s="17"/>
      <c r="D39" s="17"/>
      <c r="E39" s="17"/>
      <c r="F39" s="17"/>
      <c r="G39" s="17"/>
      <c r="H39" s="17"/>
      <c r="I39" s="17"/>
      <c r="J39" s="17"/>
      <c r="K39" s="17"/>
      <c r="L39" s="17"/>
      <c r="M39" s="17"/>
      <c r="N39" s="17"/>
      <c r="O39" s="13"/>
      <c r="P39" s="13"/>
    </row>
    <row r="40" spans="1:16" ht="18" x14ac:dyDescent="0.25">
      <c r="A40" s="13"/>
      <c r="B40" s="17"/>
      <c r="C40" s="16"/>
      <c r="D40" s="17"/>
      <c r="E40" s="17"/>
      <c r="F40" s="17"/>
      <c r="G40" s="17"/>
      <c r="H40" s="17"/>
      <c r="I40" s="17"/>
      <c r="J40" s="17"/>
      <c r="K40" s="17"/>
      <c r="L40" s="17"/>
      <c r="M40" s="17"/>
      <c r="N40" s="17"/>
      <c r="O40" s="13"/>
      <c r="P40" s="13"/>
    </row>
    <row r="41" spans="1:16" x14ac:dyDescent="0.2">
      <c r="A41" s="13"/>
      <c r="B41" s="17"/>
      <c r="C41" s="17"/>
      <c r="D41" s="21"/>
      <c r="E41" s="17"/>
      <c r="F41" s="17"/>
      <c r="G41" s="17"/>
      <c r="H41" s="17"/>
      <c r="I41" s="17"/>
      <c r="J41" s="17"/>
      <c r="K41" s="17"/>
      <c r="L41" s="17"/>
      <c r="M41" s="17"/>
      <c r="N41" s="17"/>
      <c r="O41" s="13"/>
      <c r="P41" s="13"/>
    </row>
    <row r="42" spans="1:16" x14ac:dyDescent="0.2">
      <c r="A42" s="13"/>
      <c r="B42" s="17"/>
      <c r="C42" s="17"/>
      <c r="D42" s="17"/>
      <c r="E42" s="17"/>
      <c r="F42" s="17"/>
      <c r="G42" s="17"/>
      <c r="H42" s="17"/>
      <c r="I42" s="17"/>
      <c r="J42" s="17"/>
      <c r="K42" s="17"/>
      <c r="L42" s="17"/>
      <c r="M42" s="17"/>
      <c r="N42" s="17"/>
      <c r="O42" s="13"/>
      <c r="P42" s="13"/>
    </row>
    <row r="43" spans="1:16" x14ac:dyDescent="0.2">
      <c r="A43" s="13"/>
      <c r="B43" s="17"/>
      <c r="C43" s="17"/>
      <c r="D43" s="17"/>
      <c r="E43" s="17"/>
      <c r="F43" s="17"/>
      <c r="G43" s="17"/>
      <c r="H43" s="17"/>
      <c r="I43" s="17"/>
      <c r="J43" s="17"/>
      <c r="K43" s="17"/>
      <c r="L43" s="17"/>
      <c r="M43" s="17"/>
      <c r="N43" s="17"/>
      <c r="O43" s="13"/>
      <c r="P43" s="13"/>
    </row>
    <row r="44" spans="1:16" x14ac:dyDescent="0.2">
      <c r="A44" s="13"/>
      <c r="B44" s="17"/>
      <c r="C44" s="17"/>
      <c r="D44" s="17"/>
      <c r="E44" s="17"/>
      <c r="F44" s="17"/>
      <c r="G44" s="17"/>
      <c r="H44" s="17"/>
      <c r="I44" s="17"/>
      <c r="J44" s="17"/>
      <c r="K44" s="17"/>
      <c r="L44" s="17"/>
      <c r="M44" s="17"/>
      <c r="N44" s="17"/>
      <c r="O44" s="13"/>
      <c r="P44" s="13"/>
    </row>
    <row r="45" spans="1:16" x14ac:dyDescent="0.2">
      <c r="A45" s="13"/>
      <c r="B45" s="17"/>
      <c r="C45" s="17"/>
      <c r="D45" s="17"/>
      <c r="E45" s="17"/>
      <c r="F45" s="17"/>
      <c r="G45" s="17"/>
      <c r="H45" s="17"/>
      <c r="I45" s="17"/>
      <c r="J45" s="17"/>
      <c r="K45" s="17"/>
      <c r="L45" s="17"/>
      <c r="M45" s="17"/>
      <c r="N45" s="17"/>
      <c r="O45" s="13"/>
      <c r="P45" s="13"/>
    </row>
    <row r="46" spans="1:16" ht="18" x14ac:dyDescent="0.25">
      <c r="A46" s="13"/>
      <c r="B46" s="17"/>
      <c r="C46" s="16"/>
      <c r="D46" s="17"/>
      <c r="E46" s="17"/>
      <c r="F46" s="17"/>
      <c r="G46" s="17"/>
      <c r="H46" s="17"/>
      <c r="I46" s="17"/>
      <c r="J46" s="17"/>
      <c r="K46" s="17"/>
      <c r="L46" s="17"/>
      <c r="M46" s="17"/>
      <c r="N46" s="17"/>
      <c r="O46" s="13"/>
      <c r="P46" s="13"/>
    </row>
    <row r="47" spans="1:16" x14ac:dyDescent="0.2">
      <c r="A47" s="13"/>
      <c r="B47" s="17"/>
      <c r="C47" s="17"/>
      <c r="D47" s="17"/>
      <c r="E47" s="17"/>
      <c r="F47" s="17"/>
      <c r="G47" s="17"/>
      <c r="H47" s="17"/>
      <c r="I47" s="17"/>
      <c r="J47" s="17"/>
      <c r="K47" s="17"/>
      <c r="L47" s="17"/>
      <c r="M47" s="17"/>
      <c r="N47" s="17"/>
      <c r="O47" s="13"/>
      <c r="P47" s="13"/>
    </row>
    <row r="48" spans="1:16" x14ac:dyDescent="0.2">
      <c r="A48" s="13"/>
      <c r="B48" s="17"/>
      <c r="C48" s="17"/>
      <c r="D48" s="21"/>
      <c r="E48" s="17"/>
      <c r="F48" s="17"/>
      <c r="G48" s="17"/>
      <c r="H48" s="17"/>
      <c r="I48" s="17"/>
      <c r="J48" s="17"/>
      <c r="K48" s="17"/>
      <c r="L48" s="17"/>
      <c r="M48" s="17"/>
      <c r="N48" s="17"/>
      <c r="O48" s="13"/>
      <c r="P48" s="13"/>
    </row>
    <row r="49" spans="1:16" x14ac:dyDescent="0.2">
      <c r="A49" s="13"/>
      <c r="B49" s="17"/>
      <c r="C49" s="22"/>
      <c r="D49" s="17"/>
      <c r="E49" s="17"/>
      <c r="F49" s="17"/>
      <c r="G49" s="17"/>
      <c r="H49" s="17"/>
      <c r="I49" s="17"/>
      <c r="J49" s="17"/>
      <c r="K49" s="17"/>
      <c r="L49" s="17"/>
      <c r="M49" s="17"/>
      <c r="N49" s="17"/>
      <c r="O49" s="13"/>
      <c r="P49" s="13"/>
    </row>
    <row r="50" spans="1:16" x14ac:dyDescent="0.2">
      <c r="A50" s="13"/>
      <c r="B50" s="17"/>
      <c r="C50" s="13"/>
      <c r="D50" s="17"/>
      <c r="E50" s="17"/>
      <c r="F50" s="17"/>
      <c r="G50" s="17"/>
      <c r="H50" s="17"/>
      <c r="I50" s="17"/>
      <c r="J50" s="17"/>
      <c r="K50" s="17"/>
      <c r="L50" s="17"/>
      <c r="M50" s="17"/>
      <c r="N50" s="17"/>
      <c r="O50" s="13"/>
      <c r="P50" s="13"/>
    </row>
    <row r="51" spans="1:16" x14ac:dyDescent="0.2">
      <c r="A51" s="13"/>
      <c r="B51" s="17"/>
      <c r="C51" s="13"/>
      <c r="D51" s="17"/>
      <c r="E51" s="17"/>
      <c r="F51" s="17"/>
      <c r="G51" s="17"/>
      <c r="H51" s="17"/>
      <c r="I51" s="17"/>
      <c r="J51" s="17"/>
      <c r="K51" s="17"/>
      <c r="L51" s="17"/>
      <c r="M51" s="17"/>
      <c r="N51" s="17"/>
      <c r="O51" s="13"/>
      <c r="P51" s="13"/>
    </row>
    <row r="52" spans="1:16" x14ac:dyDescent="0.2">
      <c r="A52" s="13"/>
      <c r="B52" s="17"/>
      <c r="D52" s="17"/>
      <c r="E52" s="17"/>
      <c r="F52" s="17"/>
      <c r="G52" s="17"/>
      <c r="H52" s="17"/>
      <c r="I52" s="17"/>
      <c r="J52" s="17"/>
      <c r="K52" s="17"/>
      <c r="L52" s="17"/>
      <c r="M52" s="17"/>
      <c r="N52" s="17"/>
      <c r="O52" s="13"/>
      <c r="P52" s="13"/>
    </row>
    <row r="53" spans="1:16" x14ac:dyDescent="0.2">
      <c r="A53" s="13"/>
      <c r="B53" s="22"/>
      <c r="D53" s="22"/>
      <c r="E53" s="22"/>
      <c r="F53" s="22"/>
      <c r="G53" s="22"/>
      <c r="H53" s="22"/>
      <c r="I53" s="22"/>
      <c r="J53" s="22"/>
      <c r="K53" s="22"/>
      <c r="L53" s="22"/>
      <c r="M53" s="22"/>
      <c r="N53" s="22"/>
      <c r="O53" s="13"/>
      <c r="P53" s="13"/>
    </row>
    <row r="54" spans="1:16" x14ac:dyDescent="0.2">
      <c r="A54" s="13"/>
      <c r="B54" s="13"/>
      <c r="D54" s="13"/>
      <c r="E54" s="13"/>
      <c r="F54" s="13"/>
      <c r="G54" s="13"/>
      <c r="H54" s="13"/>
      <c r="I54" s="13"/>
      <c r="J54" s="13"/>
      <c r="K54" s="13"/>
      <c r="L54" s="13"/>
      <c r="M54" s="13"/>
      <c r="N54" s="13"/>
      <c r="O54" s="13"/>
      <c r="P54" s="13"/>
    </row>
    <row r="55" spans="1:16" x14ac:dyDescent="0.2">
      <c r="A55" s="13"/>
      <c r="B55" s="13"/>
      <c r="D55" s="13"/>
      <c r="E55" s="13"/>
      <c r="F55" s="13"/>
      <c r="G55" s="13"/>
      <c r="H55" s="13"/>
      <c r="I55" s="13"/>
      <c r="J55" s="13"/>
      <c r="K55" s="13"/>
      <c r="L55" s="13"/>
      <c r="M55" s="13"/>
      <c r="N55" s="13"/>
      <c r="O55" s="13"/>
      <c r="P55" s="1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Start</vt:lpstr>
      <vt:lpstr>RegionTemp</vt:lpstr>
      <vt:lpstr>Instructions</vt:lpstr>
      <vt:lpstr>MRegion</vt:lpstr>
    </vt:vector>
  </TitlesOfParts>
  <Company>www.xelplus.com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My PC</cp:lastModifiedBy>
  <dcterms:created xsi:type="dcterms:W3CDTF">2017-10-02T07:41:32Z</dcterms:created>
  <dcterms:modified xsi:type="dcterms:W3CDTF">2021-01-10T15:43:58Z</dcterms:modified>
</cp:coreProperties>
</file>